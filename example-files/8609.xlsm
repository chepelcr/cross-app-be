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e312387d28feea2/Desktop/Documentos/CORELLA/Ordenes/2025/2025-12-18/"/>
    </mc:Choice>
  </mc:AlternateContent>
  <xr:revisionPtr revIDLastSave="2962" documentId="6_{B3AD72FD-A53E-8E46-9434-30CBC16BFFD3}" xr6:coauthVersionLast="47" xr6:coauthVersionMax="47" xr10:uidLastSave="{B95B8D31-468E-4F4D-BDDC-1EC35249D1C0}"/>
  <bookViews>
    <workbookView xWindow="17360" yWindow="500" windowWidth="21040" windowHeight="19620" activeTab="4" xr2:uid="{73C90569-7F61-447B-A122-90AB49F1F4DC}"/>
  </bookViews>
  <sheets>
    <sheet name="RESUMEN DE PUNTOS DE VENTA" sheetId="1" r:id="rId1"/>
    <sheet name="NuevoReporte" sheetId="30" r:id="rId2"/>
    <sheet name="CAJAS" sheetId="13" r:id="rId3"/>
    <sheet name="CROSSDOCKING" sheetId="5" r:id="rId4"/>
    <sheet name="HOJA DE FALTANTES PARCIALES" sheetId="9" r:id="rId5"/>
    <sheet name="HOJA DE FALTANTES COMPLETOS" sheetId="10" r:id="rId6"/>
    <sheet name="PUNTOS DE VENTA" sheetId="2" r:id="rId7"/>
    <sheet name="CATALOGO" sheetId="4" r:id="rId8"/>
    <sheet name="CANTIDAD DE BULTOS CROSSDOKING" sheetId="8" r:id="rId9"/>
    <sheet name="DISEÑO CROSSDOCKING" sheetId="11" r:id="rId10"/>
    <sheet name="DISEÑO EXCEL" sheetId="12" r:id="rId11"/>
  </sheets>
  <definedNames>
    <definedName name="_xlnm._FilterDatabase" localSheetId="3" hidden="1">CROSSDOCKING!$B$1:$B$11</definedName>
    <definedName name="_xlnm._FilterDatabase" localSheetId="0" hidden="1">'RESUMEN DE PUNTOS DE VENTA'!$C$1:$C$8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" i="9" l="1"/>
  <c r="D11" i="9"/>
  <c r="D12" i="9"/>
  <c r="D9" i="9"/>
  <c r="B10" i="9"/>
  <c r="B11" i="9"/>
  <c r="B12" i="9"/>
  <c r="B9" i="9"/>
  <c r="H5" i="9"/>
  <c r="C5" i="9"/>
  <c r="C4" i="9"/>
  <c r="H43" i="30"/>
  <c r="H42" i="30"/>
  <c r="H41" i="30"/>
  <c r="H40" i="30"/>
  <c r="H39" i="30"/>
  <c r="H38" i="30"/>
  <c r="H37" i="30"/>
  <c r="H36" i="30"/>
  <c r="H35" i="30"/>
  <c r="H34" i="30"/>
  <c r="H33" i="30"/>
  <c r="H32" i="30"/>
  <c r="H31" i="30"/>
  <c r="H30" i="30"/>
  <c r="H29" i="30"/>
  <c r="H28" i="30"/>
  <c r="H27" i="30"/>
  <c r="H26" i="30"/>
  <c r="H25" i="30"/>
  <c r="H24" i="30"/>
  <c r="H23" i="30"/>
  <c r="H22" i="30"/>
  <c r="H21" i="30"/>
  <c r="H20" i="30"/>
  <c r="H19" i="30"/>
  <c r="H18" i="30"/>
  <c r="H17" i="30"/>
  <c r="H16" i="30"/>
  <c r="H15" i="30"/>
  <c r="H14" i="30"/>
  <c r="H13" i="30"/>
  <c r="H12" i="30"/>
  <c r="H11" i="30"/>
  <c r="H10" i="30"/>
  <c r="H9" i="30"/>
  <c r="H8" i="30"/>
  <c r="H7" i="30"/>
  <c r="H6" i="30"/>
  <c r="H5" i="30"/>
  <c r="H4" i="30"/>
  <c r="H3" i="30"/>
  <c r="H2" i="30"/>
  <c r="C20" i="13"/>
  <c r="C19" i="13"/>
  <c r="C18" i="13"/>
  <c r="C17" i="13"/>
  <c r="C16" i="13"/>
  <c r="C15" i="13"/>
  <c r="H9" i="13"/>
  <c r="H8" i="13"/>
  <c r="H99" i="1"/>
  <c r="E99" i="1"/>
  <c r="D99" i="1"/>
  <c r="B99" i="1"/>
  <c r="H90" i="1"/>
  <c r="E90" i="1"/>
  <c r="D90" i="1"/>
  <c r="B90" i="1"/>
  <c r="H81" i="1"/>
  <c r="E81" i="1"/>
  <c r="D81" i="1"/>
  <c r="B81" i="1"/>
  <c r="H76" i="1"/>
  <c r="E76" i="1"/>
  <c r="D76" i="1"/>
  <c r="B76" i="1"/>
  <c r="H63" i="1"/>
  <c r="E63" i="1"/>
  <c r="D63" i="1"/>
  <c r="B63" i="1"/>
  <c r="E42" i="1"/>
  <c r="D42" i="1"/>
  <c r="B42" i="1"/>
  <c r="H29" i="1"/>
  <c r="E29" i="1"/>
  <c r="D29" i="1"/>
  <c r="B29" i="1"/>
  <c r="E16" i="1"/>
  <c r="D16" i="1"/>
  <c r="B16" i="1"/>
  <c r="I138" i="5"/>
  <c r="G138" i="5"/>
  <c r="F138" i="5"/>
  <c r="E138" i="5"/>
  <c r="D138" i="5"/>
  <c r="H138" i="5" s="1"/>
  <c r="C138" i="5"/>
  <c r="B136" i="5"/>
  <c r="E136" i="5" s="1"/>
  <c r="C134" i="5"/>
  <c r="H133" i="5"/>
  <c r="E133" i="5"/>
  <c r="I126" i="5"/>
  <c r="G126" i="5"/>
  <c r="F126" i="5"/>
  <c r="E126" i="5"/>
  <c r="D126" i="5"/>
  <c r="H126" i="5" s="1"/>
  <c r="C126" i="5"/>
  <c r="B124" i="5"/>
  <c r="D124" i="5" s="1"/>
  <c r="H124" i="5" s="1"/>
  <c r="C122" i="5"/>
  <c r="H121" i="5"/>
  <c r="E121" i="5"/>
  <c r="I114" i="5"/>
  <c r="G114" i="5"/>
  <c r="F114" i="5"/>
  <c r="E114" i="5"/>
  <c r="D114" i="5"/>
  <c r="H114" i="5" s="1"/>
  <c r="C114" i="5"/>
  <c r="B112" i="5"/>
  <c r="C112" i="5" s="1"/>
  <c r="C110" i="5"/>
  <c r="H109" i="5"/>
  <c r="E109" i="5"/>
  <c r="I102" i="5"/>
  <c r="G102" i="5"/>
  <c r="F102" i="5"/>
  <c r="E102" i="5"/>
  <c r="D102" i="5"/>
  <c r="H102" i="5" s="1"/>
  <c r="C102" i="5"/>
  <c r="B100" i="5"/>
  <c r="B101" i="5" s="1"/>
  <c r="C98" i="5"/>
  <c r="H97" i="5"/>
  <c r="E97" i="5"/>
  <c r="I90" i="5"/>
  <c r="G90" i="5"/>
  <c r="F90" i="5"/>
  <c r="E90" i="5"/>
  <c r="D90" i="5"/>
  <c r="H90" i="5" s="1"/>
  <c r="C90" i="5"/>
  <c r="B88" i="5"/>
  <c r="C86" i="5"/>
  <c r="H85" i="5"/>
  <c r="E85" i="5"/>
  <c r="I78" i="5"/>
  <c r="G78" i="5"/>
  <c r="F78" i="5"/>
  <c r="E78" i="5"/>
  <c r="D78" i="5"/>
  <c r="H78" i="5" s="1"/>
  <c r="C78" i="5"/>
  <c r="B76" i="5"/>
  <c r="C74" i="5"/>
  <c r="H73" i="5"/>
  <c r="E73" i="5"/>
  <c r="I278" i="5"/>
  <c r="G278" i="5"/>
  <c r="F278" i="5"/>
  <c r="E278" i="5"/>
  <c r="D278" i="5"/>
  <c r="H278" i="5" s="1"/>
  <c r="C278" i="5"/>
  <c r="B276" i="5"/>
  <c r="E276" i="5" s="1"/>
  <c r="C274" i="5"/>
  <c r="H273" i="5"/>
  <c r="E273" i="5"/>
  <c r="I266" i="5"/>
  <c r="G266" i="5"/>
  <c r="F266" i="5"/>
  <c r="E266" i="5"/>
  <c r="D266" i="5"/>
  <c r="H266" i="5" s="1"/>
  <c r="C266" i="5"/>
  <c r="B264" i="5"/>
  <c r="D264" i="5" s="1"/>
  <c r="H264" i="5" s="1"/>
  <c r="C262" i="5"/>
  <c r="H261" i="5"/>
  <c r="E261" i="5"/>
  <c r="I254" i="5"/>
  <c r="G254" i="5"/>
  <c r="F254" i="5"/>
  <c r="E254" i="5"/>
  <c r="D254" i="5"/>
  <c r="H254" i="5" s="1"/>
  <c r="C254" i="5"/>
  <c r="B252" i="5"/>
  <c r="C252" i="5" s="1"/>
  <c r="C250" i="5"/>
  <c r="H249" i="5"/>
  <c r="E249" i="5"/>
  <c r="I242" i="5"/>
  <c r="G242" i="5"/>
  <c r="F242" i="5"/>
  <c r="E242" i="5"/>
  <c r="D242" i="5"/>
  <c r="H242" i="5" s="1"/>
  <c r="C242" i="5"/>
  <c r="B240" i="5"/>
  <c r="B241" i="5" s="1"/>
  <c r="C238" i="5"/>
  <c r="H237" i="5"/>
  <c r="E237" i="5"/>
  <c r="I230" i="5"/>
  <c r="G230" i="5"/>
  <c r="F230" i="5"/>
  <c r="E230" i="5"/>
  <c r="D230" i="5"/>
  <c r="H230" i="5" s="1"/>
  <c r="C230" i="5"/>
  <c r="B228" i="5"/>
  <c r="C226" i="5"/>
  <c r="H225" i="5"/>
  <c r="E225" i="5"/>
  <c r="I218" i="5"/>
  <c r="G218" i="5"/>
  <c r="F218" i="5"/>
  <c r="E218" i="5"/>
  <c r="D218" i="5"/>
  <c r="H218" i="5" s="1"/>
  <c r="C218" i="5"/>
  <c r="B216" i="5"/>
  <c r="C214" i="5"/>
  <c r="H213" i="5"/>
  <c r="E213" i="5"/>
  <c r="I208" i="5"/>
  <c r="G208" i="5"/>
  <c r="F208" i="5"/>
  <c r="E208" i="5"/>
  <c r="D208" i="5"/>
  <c r="H208" i="5" s="1"/>
  <c r="C208" i="5"/>
  <c r="B206" i="5"/>
  <c r="D206" i="5" s="1"/>
  <c r="C204" i="5"/>
  <c r="H203" i="5"/>
  <c r="E203" i="5"/>
  <c r="I196" i="5"/>
  <c r="H196" i="5"/>
  <c r="G196" i="5"/>
  <c r="F196" i="5"/>
  <c r="E196" i="5"/>
  <c r="D196" i="5"/>
  <c r="C196" i="5"/>
  <c r="B194" i="5"/>
  <c r="F194" i="5" s="1"/>
  <c r="C192" i="5"/>
  <c r="H191" i="5"/>
  <c r="E191" i="5"/>
  <c r="I184" i="5"/>
  <c r="G184" i="5"/>
  <c r="F184" i="5"/>
  <c r="E184" i="5"/>
  <c r="D184" i="5"/>
  <c r="H184" i="5" s="1"/>
  <c r="C184" i="5"/>
  <c r="B182" i="5"/>
  <c r="B183" i="5" s="1"/>
  <c r="C180" i="5"/>
  <c r="H179" i="5"/>
  <c r="E179" i="5"/>
  <c r="I172" i="5"/>
  <c r="G172" i="5"/>
  <c r="F172" i="5"/>
  <c r="E172" i="5"/>
  <c r="D172" i="5"/>
  <c r="H172" i="5" s="1"/>
  <c r="C172" i="5"/>
  <c r="B170" i="5"/>
  <c r="D170" i="5" s="1"/>
  <c r="H170" i="5" s="1"/>
  <c r="C168" i="5"/>
  <c r="H167" i="5"/>
  <c r="E167" i="5"/>
  <c r="I160" i="5"/>
  <c r="G160" i="5"/>
  <c r="F160" i="5"/>
  <c r="E160" i="5"/>
  <c r="D160" i="5"/>
  <c r="H160" i="5" s="1"/>
  <c r="C160" i="5"/>
  <c r="B158" i="5"/>
  <c r="C158" i="5" s="1"/>
  <c r="C156" i="5"/>
  <c r="H155" i="5"/>
  <c r="E155" i="5"/>
  <c r="I148" i="5"/>
  <c r="G148" i="5"/>
  <c r="F148" i="5"/>
  <c r="E148" i="5"/>
  <c r="D148" i="5"/>
  <c r="H148" i="5" s="1"/>
  <c r="C148" i="5"/>
  <c r="B146" i="5"/>
  <c r="B147" i="5" s="1"/>
  <c r="C144" i="5"/>
  <c r="H143" i="5"/>
  <c r="E143" i="5"/>
  <c r="I370" i="5"/>
  <c r="G370" i="5"/>
  <c r="F370" i="5"/>
  <c r="E370" i="5"/>
  <c r="D370" i="5"/>
  <c r="H370" i="5" s="1"/>
  <c r="C370" i="5"/>
  <c r="B368" i="5"/>
  <c r="C366" i="5"/>
  <c r="H365" i="5"/>
  <c r="E365" i="5"/>
  <c r="I358" i="5"/>
  <c r="G358" i="5"/>
  <c r="F358" i="5"/>
  <c r="E358" i="5"/>
  <c r="D358" i="5"/>
  <c r="H358" i="5" s="1"/>
  <c r="C358" i="5"/>
  <c r="B356" i="5"/>
  <c r="C356" i="5" s="1"/>
  <c r="C354" i="5"/>
  <c r="H353" i="5"/>
  <c r="E353" i="5"/>
  <c r="I348" i="5"/>
  <c r="G348" i="5"/>
  <c r="F348" i="5"/>
  <c r="E348" i="5"/>
  <c r="D348" i="5"/>
  <c r="H348" i="5" s="1"/>
  <c r="C348" i="5"/>
  <c r="B346" i="5"/>
  <c r="B347" i="5" s="1"/>
  <c r="C344" i="5"/>
  <c r="H343" i="5"/>
  <c r="E343" i="5"/>
  <c r="I336" i="5"/>
  <c r="G336" i="5"/>
  <c r="F336" i="5"/>
  <c r="E336" i="5"/>
  <c r="D336" i="5"/>
  <c r="H336" i="5" s="1"/>
  <c r="C336" i="5"/>
  <c r="B334" i="5"/>
  <c r="D334" i="5" s="1"/>
  <c r="H334" i="5" s="1"/>
  <c r="C332" i="5"/>
  <c r="H331" i="5"/>
  <c r="E331" i="5"/>
  <c r="I324" i="5"/>
  <c r="G324" i="5"/>
  <c r="F324" i="5"/>
  <c r="E324" i="5"/>
  <c r="D324" i="5"/>
  <c r="H324" i="5" s="1"/>
  <c r="C324" i="5"/>
  <c r="B322" i="5"/>
  <c r="C322" i="5" s="1"/>
  <c r="C320" i="5"/>
  <c r="H319" i="5"/>
  <c r="E319" i="5"/>
  <c r="I312" i="5"/>
  <c r="G312" i="5"/>
  <c r="F312" i="5"/>
  <c r="E312" i="5"/>
  <c r="D312" i="5"/>
  <c r="H312" i="5" s="1"/>
  <c r="C312" i="5"/>
  <c r="B310" i="5"/>
  <c r="B311" i="5" s="1"/>
  <c r="C308" i="5"/>
  <c r="H307" i="5"/>
  <c r="E307" i="5"/>
  <c r="I300" i="5"/>
  <c r="G300" i="5"/>
  <c r="F300" i="5"/>
  <c r="E300" i="5"/>
  <c r="D300" i="5"/>
  <c r="H300" i="5" s="1"/>
  <c r="C300" i="5"/>
  <c r="B298" i="5"/>
  <c r="C296" i="5"/>
  <c r="H295" i="5"/>
  <c r="E295" i="5"/>
  <c r="I288" i="5"/>
  <c r="G288" i="5"/>
  <c r="F288" i="5"/>
  <c r="E288" i="5"/>
  <c r="D288" i="5"/>
  <c r="H288" i="5" s="1"/>
  <c r="C288" i="5"/>
  <c r="B286" i="5"/>
  <c r="E286" i="5" s="1"/>
  <c r="C284" i="5"/>
  <c r="H283" i="5"/>
  <c r="E283" i="5"/>
  <c r="H144" i="1"/>
  <c r="E144" i="1"/>
  <c r="D144" i="1"/>
  <c r="B144" i="1"/>
  <c r="H140" i="1"/>
  <c r="E140" i="1"/>
  <c r="D140" i="1"/>
  <c r="B140" i="1"/>
  <c r="E136" i="1"/>
  <c r="D136" i="1"/>
  <c r="B136" i="1"/>
  <c r="H132" i="1"/>
  <c r="E132" i="1"/>
  <c r="D132" i="1"/>
  <c r="B132" i="1"/>
  <c r="H128" i="1"/>
  <c r="E128" i="1"/>
  <c r="D128" i="1"/>
  <c r="B128" i="1"/>
  <c r="H124" i="1"/>
  <c r="E124" i="1"/>
  <c r="D124" i="1"/>
  <c r="B124" i="1"/>
  <c r="H120" i="1"/>
  <c r="E120" i="1"/>
  <c r="D120" i="1"/>
  <c r="B120" i="1"/>
  <c r="H112" i="1"/>
  <c r="E112" i="1"/>
  <c r="D112" i="1"/>
  <c r="B112" i="1"/>
  <c r="H104" i="1"/>
  <c r="E104" i="1"/>
  <c r="D104" i="1"/>
  <c r="B104" i="1"/>
  <c r="H100" i="1"/>
  <c r="E100" i="1"/>
  <c r="D100" i="1"/>
  <c r="B100" i="1"/>
  <c r="H95" i="1"/>
  <c r="E95" i="1"/>
  <c r="D95" i="1"/>
  <c r="B95" i="1"/>
  <c r="H91" i="1"/>
  <c r="E91" i="1"/>
  <c r="D91" i="1"/>
  <c r="B91" i="1"/>
  <c r="H86" i="1"/>
  <c r="E86" i="1"/>
  <c r="D86" i="1"/>
  <c r="B86" i="1"/>
  <c r="H82" i="1"/>
  <c r="E82" i="1"/>
  <c r="D82" i="1"/>
  <c r="B82" i="1"/>
  <c r="H77" i="1"/>
  <c r="E77" i="1"/>
  <c r="D77" i="1"/>
  <c r="B77" i="1"/>
  <c r="H72" i="1"/>
  <c r="E72" i="1"/>
  <c r="D72" i="1"/>
  <c r="B72" i="1"/>
  <c r="H68" i="1"/>
  <c r="E68" i="1"/>
  <c r="D68" i="1"/>
  <c r="B68" i="1"/>
  <c r="H64" i="1"/>
  <c r="E64" i="1"/>
  <c r="D64" i="1"/>
  <c r="B64" i="1"/>
  <c r="E59" i="1"/>
  <c r="D59" i="1"/>
  <c r="B59" i="1"/>
  <c r="H55" i="1"/>
  <c r="E55" i="1"/>
  <c r="D55" i="1"/>
  <c r="B55" i="1"/>
  <c r="H51" i="1"/>
  <c r="E51" i="1"/>
  <c r="D51" i="1"/>
  <c r="B51" i="1"/>
  <c r="H47" i="1"/>
  <c r="E47" i="1"/>
  <c r="D47" i="1"/>
  <c r="B47" i="1"/>
  <c r="H43" i="1"/>
  <c r="E43" i="1"/>
  <c r="D43" i="1"/>
  <c r="B43" i="1"/>
  <c r="H38" i="1"/>
  <c r="E38" i="1"/>
  <c r="D38" i="1"/>
  <c r="B38" i="1"/>
  <c r="H34" i="1"/>
  <c r="E34" i="1"/>
  <c r="D34" i="1"/>
  <c r="B34" i="1"/>
  <c r="H30" i="1"/>
  <c r="E30" i="1"/>
  <c r="D30" i="1"/>
  <c r="B30" i="1"/>
  <c r="H25" i="1"/>
  <c r="E25" i="1"/>
  <c r="D25" i="1"/>
  <c r="B25" i="1"/>
  <c r="H21" i="1"/>
  <c r="E21" i="1"/>
  <c r="D21" i="1"/>
  <c r="B21" i="1"/>
  <c r="H17" i="1"/>
  <c r="E17" i="1"/>
  <c r="D17" i="1"/>
  <c r="B17" i="1"/>
  <c r="H12" i="1"/>
  <c r="E12" i="1"/>
  <c r="D12" i="1"/>
  <c r="B12" i="1"/>
  <c r="H11" i="1"/>
  <c r="E11" i="1"/>
  <c r="D11" i="1"/>
  <c r="B11" i="1"/>
  <c r="E377" i="5"/>
  <c r="H377" i="5"/>
  <c r="C378" i="5"/>
  <c r="B380" i="5"/>
  <c r="F380" i="5" s="1"/>
  <c r="C382" i="5"/>
  <c r="D382" i="5"/>
  <c r="H382" i="5" s="1"/>
  <c r="E382" i="5"/>
  <c r="F382" i="5"/>
  <c r="G382" i="5"/>
  <c r="I382" i="5"/>
  <c r="E108" i="1"/>
  <c r="D108" i="1"/>
  <c r="B108" i="1"/>
  <c r="I68" i="5"/>
  <c r="G68" i="5"/>
  <c r="F68" i="5"/>
  <c r="E68" i="5"/>
  <c r="D68" i="5"/>
  <c r="H68" i="5" s="1"/>
  <c r="C68" i="5"/>
  <c r="B66" i="5"/>
  <c r="B67" i="5" s="1"/>
  <c r="C64" i="5"/>
  <c r="H63" i="5"/>
  <c r="E63" i="5"/>
  <c r="I56" i="5"/>
  <c r="G56" i="5"/>
  <c r="F56" i="5"/>
  <c r="E56" i="5"/>
  <c r="D56" i="5"/>
  <c r="H56" i="5" s="1"/>
  <c r="C56" i="5"/>
  <c r="B54" i="5"/>
  <c r="C52" i="5"/>
  <c r="H51" i="5"/>
  <c r="E51" i="5"/>
  <c r="I44" i="5"/>
  <c r="G44" i="5"/>
  <c r="F44" i="5"/>
  <c r="E44" i="5"/>
  <c r="D44" i="5"/>
  <c r="H44" i="5" s="1"/>
  <c r="C44" i="5"/>
  <c r="B42" i="5"/>
  <c r="C40" i="5"/>
  <c r="H39" i="5"/>
  <c r="E39" i="5"/>
  <c r="H116" i="1"/>
  <c r="E116" i="1"/>
  <c r="D116" i="1"/>
  <c r="B116" i="1"/>
  <c r="H7" i="1"/>
  <c r="E7" i="1"/>
  <c r="D7" i="1"/>
  <c r="B7" i="1"/>
  <c r="E27" i="5"/>
  <c r="E15" i="5"/>
  <c r="E3" i="5"/>
  <c r="G368" i="5" l="1"/>
  <c r="G228" i="5"/>
  <c r="G76" i="5"/>
  <c r="G216" i="5"/>
  <c r="E124" i="5"/>
  <c r="E228" i="5"/>
  <c r="G206" i="5"/>
  <c r="C100" i="5"/>
  <c r="C146" i="5"/>
  <c r="D146" i="5"/>
  <c r="H146" i="5" s="1"/>
  <c r="F216" i="5"/>
  <c r="G100" i="5"/>
  <c r="E76" i="5"/>
  <c r="D112" i="5"/>
  <c r="H112" i="5" s="1"/>
  <c r="F136" i="5"/>
  <c r="G101" i="5"/>
  <c r="C101" i="5"/>
  <c r="F101" i="5"/>
  <c r="E101" i="5"/>
  <c r="D101" i="5"/>
  <c r="H101" i="5" s="1"/>
  <c r="D194" i="5"/>
  <c r="H194" i="5" s="1"/>
  <c r="B77" i="5"/>
  <c r="C88" i="5"/>
  <c r="D100" i="5"/>
  <c r="H100" i="5" s="1"/>
  <c r="E112" i="5"/>
  <c r="F124" i="5"/>
  <c r="G136" i="5"/>
  <c r="E356" i="5"/>
  <c r="D158" i="5"/>
  <c r="H158" i="5" s="1"/>
  <c r="C182" i="5"/>
  <c r="G252" i="5"/>
  <c r="C76" i="5"/>
  <c r="D88" i="5"/>
  <c r="H88" i="5" s="1"/>
  <c r="E100" i="5"/>
  <c r="F112" i="5"/>
  <c r="G124" i="5"/>
  <c r="G356" i="5"/>
  <c r="E158" i="5"/>
  <c r="D182" i="5"/>
  <c r="H182" i="5" s="1"/>
  <c r="D76" i="5"/>
  <c r="H76" i="5" s="1"/>
  <c r="E88" i="5"/>
  <c r="F100" i="5"/>
  <c r="F103" i="5" s="1"/>
  <c r="G112" i="5"/>
  <c r="B89" i="5"/>
  <c r="F88" i="5"/>
  <c r="B137" i="5"/>
  <c r="H206" i="5"/>
  <c r="C346" i="5"/>
  <c r="F182" i="5"/>
  <c r="C206" i="5"/>
  <c r="D240" i="5"/>
  <c r="H240" i="5" s="1"/>
  <c r="F76" i="5"/>
  <c r="G88" i="5"/>
  <c r="B125" i="5"/>
  <c r="C136" i="5"/>
  <c r="G158" i="5"/>
  <c r="E182" i="5"/>
  <c r="F346" i="5"/>
  <c r="F146" i="5"/>
  <c r="G182" i="5"/>
  <c r="E206" i="5"/>
  <c r="F240" i="5"/>
  <c r="B113" i="5"/>
  <c r="C124" i="5"/>
  <c r="D136" i="5"/>
  <c r="H136" i="5" s="1"/>
  <c r="D356" i="5"/>
  <c r="H356" i="5" s="1"/>
  <c r="F206" i="5"/>
  <c r="E183" i="5"/>
  <c r="D183" i="5"/>
  <c r="H183" i="5" s="1"/>
  <c r="C183" i="5"/>
  <c r="G183" i="5"/>
  <c r="F183" i="5"/>
  <c r="I183" i="5" s="1"/>
  <c r="G241" i="5"/>
  <c r="F241" i="5"/>
  <c r="E241" i="5"/>
  <c r="D241" i="5"/>
  <c r="H241" i="5" s="1"/>
  <c r="C241" i="5"/>
  <c r="I147" i="5"/>
  <c r="G147" i="5"/>
  <c r="F147" i="5"/>
  <c r="E147" i="5"/>
  <c r="D147" i="5"/>
  <c r="H147" i="5" s="1"/>
  <c r="C147" i="5"/>
  <c r="E170" i="5"/>
  <c r="G194" i="5"/>
  <c r="I194" i="5" s="1"/>
  <c r="B229" i="5"/>
  <c r="C240" i="5"/>
  <c r="D252" i="5"/>
  <c r="H252" i="5" s="1"/>
  <c r="E264" i="5"/>
  <c r="F276" i="5"/>
  <c r="B217" i="5"/>
  <c r="C228" i="5"/>
  <c r="E252" i="5"/>
  <c r="F264" i="5"/>
  <c r="G276" i="5"/>
  <c r="D346" i="5"/>
  <c r="H346" i="5" s="1"/>
  <c r="F170" i="5"/>
  <c r="E346" i="5"/>
  <c r="F356" i="5"/>
  <c r="E146" i="5"/>
  <c r="F158" i="5"/>
  <c r="G170" i="5"/>
  <c r="B207" i="5"/>
  <c r="C216" i="5"/>
  <c r="D228" i="5"/>
  <c r="H228" i="5" s="1"/>
  <c r="E240" i="5"/>
  <c r="F252" i="5"/>
  <c r="G264" i="5"/>
  <c r="B195" i="5"/>
  <c r="D216" i="5"/>
  <c r="H216" i="5" s="1"/>
  <c r="G346" i="5"/>
  <c r="G146" i="5"/>
  <c r="C194" i="5"/>
  <c r="E216" i="5"/>
  <c r="F228" i="5"/>
  <c r="G240" i="5"/>
  <c r="B277" i="5"/>
  <c r="B265" i="5"/>
  <c r="C276" i="5"/>
  <c r="B171" i="5"/>
  <c r="F286" i="5"/>
  <c r="C310" i="5"/>
  <c r="B159" i="5"/>
  <c r="C170" i="5"/>
  <c r="E194" i="5"/>
  <c r="B253" i="5"/>
  <c r="C264" i="5"/>
  <c r="D276" i="5"/>
  <c r="H276" i="5" s="1"/>
  <c r="G286" i="5"/>
  <c r="D310" i="5"/>
  <c r="H310" i="5" s="1"/>
  <c r="F368" i="5"/>
  <c r="I368" i="5" s="1"/>
  <c r="E347" i="5"/>
  <c r="D347" i="5"/>
  <c r="H347" i="5" s="1"/>
  <c r="C347" i="5"/>
  <c r="I347" i="5"/>
  <c r="G347" i="5"/>
  <c r="F347" i="5"/>
  <c r="G311" i="5"/>
  <c r="F311" i="5"/>
  <c r="E311" i="5"/>
  <c r="D311" i="5"/>
  <c r="H311" i="5" s="1"/>
  <c r="C311" i="5"/>
  <c r="B299" i="5"/>
  <c r="D322" i="5"/>
  <c r="H322" i="5" s="1"/>
  <c r="B287" i="5"/>
  <c r="C298" i="5"/>
  <c r="E322" i="5"/>
  <c r="F334" i="5"/>
  <c r="C286" i="5"/>
  <c r="D298" i="5"/>
  <c r="H298" i="5" s="1"/>
  <c r="E310" i="5"/>
  <c r="F322" i="5"/>
  <c r="G334" i="5"/>
  <c r="B369" i="5"/>
  <c r="G298" i="5"/>
  <c r="D286" i="5"/>
  <c r="H286" i="5" s="1"/>
  <c r="E298" i="5"/>
  <c r="F310" i="5"/>
  <c r="G322" i="5"/>
  <c r="B357" i="5"/>
  <c r="C368" i="5"/>
  <c r="E334" i="5"/>
  <c r="F298" i="5"/>
  <c r="G310" i="5"/>
  <c r="D368" i="5"/>
  <c r="H368" i="5" s="1"/>
  <c r="B335" i="5"/>
  <c r="E368" i="5"/>
  <c r="B323" i="5"/>
  <c r="C334" i="5"/>
  <c r="B381" i="5"/>
  <c r="D381" i="5" s="1"/>
  <c r="H381" i="5" s="1"/>
  <c r="D380" i="5"/>
  <c r="H380" i="5" s="1"/>
  <c r="C380" i="5"/>
  <c r="E380" i="5"/>
  <c r="G380" i="5"/>
  <c r="G42" i="5"/>
  <c r="C66" i="5"/>
  <c r="D66" i="5"/>
  <c r="H66" i="5" s="1"/>
  <c r="G66" i="5"/>
  <c r="E66" i="5"/>
  <c r="G67" i="5"/>
  <c r="F67" i="5"/>
  <c r="E67" i="5"/>
  <c r="D67" i="5"/>
  <c r="H67" i="5" s="1"/>
  <c r="C67" i="5"/>
  <c r="B55" i="5"/>
  <c r="B43" i="5"/>
  <c r="C54" i="5"/>
  <c r="C42" i="5"/>
  <c r="D54" i="5"/>
  <c r="H54" i="5" s="1"/>
  <c r="D42" i="5"/>
  <c r="H42" i="5" s="1"/>
  <c r="E54" i="5"/>
  <c r="F66" i="5"/>
  <c r="E42" i="5"/>
  <c r="F54" i="5"/>
  <c r="F42" i="5"/>
  <c r="G54" i="5"/>
  <c r="H3" i="5"/>
  <c r="H15" i="5"/>
  <c r="H27" i="5"/>
  <c r="I101" i="5" l="1"/>
  <c r="I216" i="5"/>
  <c r="I206" i="5"/>
  <c r="I310" i="5"/>
  <c r="I124" i="5"/>
  <c r="F243" i="5"/>
  <c r="I264" i="5"/>
  <c r="I311" i="5"/>
  <c r="I240" i="5"/>
  <c r="I334" i="5"/>
  <c r="I170" i="5"/>
  <c r="I241" i="5"/>
  <c r="F185" i="5"/>
  <c r="I182" i="5"/>
  <c r="I185" i="5" s="1"/>
  <c r="I100" i="5"/>
  <c r="I103" i="5" s="1"/>
  <c r="G185" i="5"/>
  <c r="G103" i="5"/>
  <c r="F313" i="5"/>
  <c r="F349" i="5"/>
  <c r="G243" i="5"/>
  <c r="I88" i="5"/>
  <c r="I136" i="5"/>
  <c r="G149" i="5"/>
  <c r="I76" i="5"/>
  <c r="I89" i="5"/>
  <c r="G89" i="5"/>
  <c r="G91" i="5" s="1"/>
  <c r="F89" i="5"/>
  <c r="F91" i="5" s="1"/>
  <c r="E89" i="5"/>
  <c r="D89" i="5"/>
  <c r="H89" i="5" s="1"/>
  <c r="C89" i="5"/>
  <c r="I286" i="5"/>
  <c r="G77" i="5"/>
  <c r="G79" i="5" s="1"/>
  <c r="F77" i="5"/>
  <c r="F79" i="5" s="1"/>
  <c r="E77" i="5"/>
  <c r="D77" i="5"/>
  <c r="H77" i="5" s="1"/>
  <c r="C77" i="5"/>
  <c r="I322" i="5"/>
  <c r="I112" i="5"/>
  <c r="C113" i="5"/>
  <c r="D113" i="5"/>
  <c r="H113" i="5" s="1"/>
  <c r="G113" i="5"/>
  <c r="G115" i="5" s="1"/>
  <c r="F113" i="5"/>
  <c r="F115" i="5" s="1"/>
  <c r="E113" i="5"/>
  <c r="G313" i="5"/>
  <c r="F149" i="5"/>
  <c r="I356" i="5"/>
  <c r="D125" i="5"/>
  <c r="H125" i="5" s="1"/>
  <c r="C125" i="5"/>
  <c r="E125" i="5"/>
  <c r="G125" i="5"/>
  <c r="G127" i="5" s="1"/>
  <c r="F125" i="5"/>
  <c r="F127" i="5" s="1"/>
  <c r="E137" i="5"/>
  <c r="D137" i="5"/>
  <c r="H137" i="5" s="1"/>
  <c r="C137" i="5"/>
  <c r="F137" i="5"/>
  <c r="F139" i="5" s="1"/>
  <c r="I137" i="5"/>
  <c r="G137" i="5"/>
  <c r="G139" i="5" s="1"/>
  <c r="I346" i="5"/>
  <c r="I349" i="5" s="1"/>
  <c r="C253" i="5"/>
  <c r="G253" i="5"/>
  <c r="G255" i="5" s="1"/>
  <c r="F253" i="5"/>
  <c r="F255" i="5" s="1"/>
  <c r="E253" i="5"/>
  <c r="D253" i="5"/>
  <c r="H253" i="5" s="1"/>
  <c r="D171" i="5"/>
  <c r="H171" i="5" s="1"/>
  <c r="C171" i="5"/>
  <c r="I171" i="5"/>
  <c r="G171" i="5"/>
  <c r="G173" i="5" s="1"/>
  <c r="F171" i="5"/>
  <c r="F173" i="5" s="1"/>
  <c r="E171" i="5"/>
  <c r="F195" i="5"/>
  <c r="F197" i="5" s="1"/>
  <c r="E195" i="5"/>
  <c r="D195" i="5"/>
  <c r="H195" i="5" s="1"/>
  <c r="C195" i="5"/>
  <c r="G195" i="5"/>
  <c r="G197" i="5" s="1"/>
  <c r="I228" i="5"/>
  <c r="G207" i="5"/>
  <c r="G209" i="5" s="1"/>
  <c r="F207" i="5"/>
  <c r="F209" i="5" s="1"/>
  <c r="E207" i="5"/>
  <c r="D207" i="5"/>
  <c r="H207" i="5" s="1"/>
  <c r="C207" i="5"/>
  <c r="G229" i="5"/>
  <c r="G231" i="5" s="1"/>
  <c r="F229" i="5"/>
  <c r="F231" i="5" s="1"/>
  <c r="E229" i="5"/>
  <c r="D229" i="5"/>
  <c r="H229" i="5" s="1"/>
  <c r="C229" i="5"/>
  <c r="D265" i="5"/>
  <c r="H265" i="5" s="1"/>
  <c r="C265" i="5"/>
  <c r="I265" i="5"/>
  <c r="G265" i="5"/>
  <c r="G267" i="5" s="1"/>
  <c r="F265" i="5"/>
  <c r="F267" i="5" s="1"/>
  <c r="E265" i="5"/>
  <c r="G349" i="5"/>
  <c r="G217" i="5"/>
  <c r="G219" i="5" s="1"/>
  <c r="F217" i="5"/>
  <c r="F219" i="5" s="1"/>
  <c r="E217" i="5"/>
  <c r="D217" i="5"/>
  <c r="H217" i="5" s="1"/>
  <c r="C217" i="5"/>
  <c r="C159" i="5"/>
  <c r="G159" i="5"/>
  <c r="G161" i="5" s="1"/>
  <c r="F159" i="5"/>
  <c r="F161" i="5" s="1"/>
  <c r="E159" i="5"/>
  <c r="D159" i="5"/>
  <c r="H159" i="5" s="1"/>
  <c r="I252" i="5"/>
  <c r="I158" i="5"/>
  <c r="I276" i="5"/>
  <c r="E277" i="5"/>
  <c r="D277" i="5"/>
  <c r="H277" i="5" s="1"/>
  <c r="C277" i="5"/>
  <c r="G277" i="5"/>
  <c r="G279" i="5" s="1"/>
  <c r="F277" i="5"/>
  <c r="F279" i="5" s="1"/>
  <c r="I146" i="5"/>
  <c r="I149" i="5" s="1"/>
  <c r="F287" i="5"/>
  <c r="F289" i="5" s="1"/>
  <c r="E287" i="5"/>
  <c r="G287" i="5"/>
  <c r="G289" i="5" s="1"/>
  <c r="D287" i="5"/>
  <c r="H287" i="5" s="1"/>
  <c r="C287" i="5"/>
  <c r="I299" i="5"/>
  <c r="G299" i="5"/>
  <c r="G301" i="5" s="1"/>
  <c r="F299" i="5"/>
  <c r="F301" i="5" s="1"/>
  <c r="E299" i="5"/>
  <c r="D299" i="5"/>
  <c r="H299" i="5" s="1"/>
  <c r="C299" i="5"/>
  <c r="D335" i="5"/>
  <c r="H335" i="5" s="1"/>
  <c r="C335" i="5"/>
  <c r="E335" i="5"/>
  <c r="G335" i="5"/>
  <c r="G337" i="5" s="1"/>
  <c r="F335" i="5"/>
  <c r="F337" i="5" s="1"/>
  <c r="G369" i="5"/>
  <c r="G371" i="5" s="1"/>
  <c r="F369" i="5"/>
  <c r="F371" i="5" s="1"/>
  <c r="E369" i="5"/>
  <c r="D369" i="5"/>
  <c r="H369" i="5" s="1"/>
  <c r="I369" i="5"/>
  <c r="I371" i="5" s="1"/>
  <c r="C369" i="5"/>
  <c r="I298" i="5"/>
  <c r="C323" i="5"/>
  <c r="G323" i="5"/>
  <c r="G325" i="5" s="1"/>
  <c r="F323" i="5"/>
  <c r="F325" i="5" s="1"/>
  <c r="E323" i="5"/>
  <c r="D323" i="5"/>
  <c r="H323" i="5" s="1"/>
  <c r="F357" i="5"/>
  <c r="F359" i="5" s="1"/>
  <c r="E357" i="5"/>
  <c r="D357" i="5"/>
  <c r="H357" i="5" s="1"/>
  <c r="C357" i="5"/>
  <c r="G357" i="5"/>
  <c r="G359" i="5" s="1"/>
  <c r="E381" i="5"/>
  <c r="G381" i="5"/>
  <c r="G383" i="5" s="1"/>
  <c r="I67" i="5"/>
  <c r="I42" i="5"/>
  <c r="I380" i="5"/>
  <c r="F381" i="5"/>
  <c r="F383" i="5" s="1"/>
  <c r="C381" i="5"/>
  <c r="G69" i="5"/>
  <c r="F69" i="5"/>
  <c r="I66" i="5"/>
  <c r="G55" i="5"/>
  <c r="G57" i="5" s="1"/>
  <c r="F55" i="5"/>
  <c r="F57" i="5" s="1"/>
  <c r="E55" i="5"/>
  <c r="D55" i="5"/>
  <c r="H55" i="5" s="1"/>
  <c r="C55" i="5"/>
  <c r="I54" i="5"/>
  <c r="G43" i="5"/>
  <c r="G45" i="5" s="1"/>
  <c r="F43" i="5"/>
  <c r="F45" i="5" s="1"/>
  <c r="E43" i="5"/>
  <c r="D43" i="5"/>
  <c r="H43" i="5" s="1"/>
  <c r="C43" i="5"/>
  <c r="I229" i="5" l="1"/>
  <c r="I207" i="5"/>
  <c r="I209" i="5" s="1"/>
  <c r="I195" i="5"/>
  <c r="I197" i="5" s="1"/>
  <c r="I159" i="5"/>
  <c r="I161" i="5" s="1"/>
  <c r="I253" i="5"/>
  <c r="I255" i="5" s="1"/>
  <c r="I113" i="5"/>
  <c r="I115" i="5" s="1"/>
  <c r="I77" i="5"/>
  <c r="I79" i="5" s="1"/>
  <c r="I313" i="5"/>
  <c r="I243" i="5"/>
  <c r="I267" i="5"/>
  <c r="I173" i="5"/>
  <c r="I381" i="5"/>
  <c r="I383" i="5" s="1"/>
  <c r="I335" i="5"/>
  <c r="I337" i="5" s="1"/>
  <c r="I323" i="5"/>
  <c r="I325" i="5" s="1"/>
  <c r="I287" i="5"/>
  <c r="I289" i="5" s="1"/>
  <c r="I139" i="5"/>
  <c r="I125" i="5"/>
  <c r="I127" i="5" s="1"/>
  <c r="I91" i="5"/>
  <c r="I217" i="5"/>
  <c r="I219" i="5" s="1"/>
  <c r="I277" i="5"/>
  <c r="I279" i="5" s="1"/>
  <c r="I231" i="5"/>
  <c r="I301" i="5"/>
  <c r="I357" i="5"/>
  <c r="I359" i="5" s="1"/>
  <c r="I69" i="5"/>
  <c r="I55" i="5"/>
  <c r="I57" i="5" s="1"/>
  <c r="I43" i="5"/>
  <c r="I45" i="5" s="1"/>
  <c r="G32" i="5" l="1"/>
  <c r="G20" i="5"/>
  <c r="G8" i="5"/>
  <c r="F32" i="5"/>
  <c r="B30" i="5"/>
  <c r="B31" i="5" s="1"/>
  <c r="F20" i="5"/>
  <c r="B18" i="5"/>
  <c r="B19" i="5" s="1"/>
  <c r="G19" i="5" s="1"/>
  <c r="F8" i="5"/>
  <c r="B6" i="5"/>
  <c r="B7" i="5" s="1"/>
  <c r="G7" i="5" s="1"/>
  <c r="E32" i="5"/>
  <c r="D32" i="5"/>
  <c r="H32" i="5" s="1"/>
  <c r="C32" i="5"/>
  <c r="E20" i="5"/>
  <c r="D20" i="5"/>
  <c r="H20" i="5" s="1"/>
  <c r="C20" i="5"/>
  <c r="E8" i="5"/>
  <c r="D8" i="5"/>
  <c r="H8" i="5" s="1"/>
  <c r="C8" i="5"/>
  <c r="G31" i="5" l="1"/>
  <c r="C30" i="5"/>
  <c r="G6" i="5"/>
  <c r="F7" i="5"/>
  <c r="E31" i="5"/>
  <c r="F31" i="5"/>
  <c r="F19" i="5"/>
  <c r="C19" i="5"/>
  <c r="E6" i="5"/>
  <c r="C18" i="5"/>
  <c r="D30" i="5"/>
  <c r="H30" i="5" s="1"/>
  <c r="F6" i="5"/>
  <c r="F18" i="5"/>
  <c r="F30" i="5"/>
  <c r="D18" i="5"/>
  <c r="H18" i="5" s="1"/>
  <c r="E18" i="5"/>
  <c r="C6" i="5"/>
  <c r="D19" i="5"/>
  <c r="H19" i="5" s="1"/>
  <c r="E30" i="5"/>
  <c r="C31" i="5"/>
  <c r="D6" i="5"/>
  <c r="H6" i="5" s="1"/>
  <c r="E19" i="5"/>
  <c r="D31" i="5"/>
  <c r="H31" i="5" s="1"/>
  <c r="B8" i="13"/>
  <c r="G8" i="13"/>
  <c r="B9" i="13"/>
  <c r="G9" i="13"/>
  <c r="G18" i="5"/>
  <c r="C4" i="13"/>
  <c r="G30" i="5" l="1"/>
  <c r="C7" i="5"/>
  <c r="D7" i="5"/>
  <c r="H7" i="5" s="1"/>
  <c r="E7" i="5"/>
  <c r="I9" i="13"/>
  <c r="I8" i="13"/>
  <c r="H10" i="13" l="1"/>
  <c r="I10" i="13"/>
  <c r="C2" i="13" l="1"/>
  <c r="I4" i="13"/>
  <c r="C3" i="13"/>
  <c r="I2" i="13"/>
  <c r="H8" i="1"/>
  <c r="H13" i="1" l="1"/>
  <c r="I8" i="11"/>
  <c r="G8" i="11"/>
  <c r="F8" i="11"/>
  <c r="E8" i="11"/>
  <c r="D8" i="11"/>
  <c r="H8" i="11" s="1"/>
  <c r="C8" i="11"/>
  <c r="B6" i="11"/>
  <c r="C6" i="11" s="1"/>
  <c r="C4" i="11"/>
  <c r="H3" i="11"/>
  <c r="H10" i="12"/>
  <c r="E10" i="12"/>
  <c r="D10" i="12"/>
  <c r="B10" i="12"/>
  <c r="H18" i="1" l="1"/>
  <c r="D6" i="11"/>
  <c r="E6" i="11"/>
  <c r="B7" i="11"/>
  <c r="I8" i="5"/>
  <c r="I20" i="5"/>
  <c r="I32" i="5"/>
  <c r="H22" i="1" l="1"/>
  <c r="H26" i="1" s="1"/>
  <c r="H31" i="1" s="1"/>
  <c r="F6" i="11"/>
  <c r="G7" i="11"/>
  <c r="C7" i="11"/>
  <c r="F7" i="11"/>
  <c r="E7" i="11"/>
  <c r="D7" i="11"/>
  <c r="H7" i="11" s="1"/>
  <c r="H35" i="1" l="1"/>
  <c r="I7" i="11"/>
  <c r="F9" i="11"/>
  <c r="H39" i="1" l="1"/>
  <c r="H44" i="1" s="1"/>
  <c r="H48" i="1" s="1"/>
  <c r="H52" i="1" s="1"/>
  <c r="C28" i="5"/>
  <c r="C16" i="5"/>
  <c r="C4" i="5"/>
  <c r="H56" i="1" l="1"/>
  <c r="H60" i="1" s="1"/>
  <c r="H65" i="1" s="1"/>
  <c r="H69" i="1" s="1"/>
  <c r="H73" i="1" s="1"/>
  <c r="H78" i="1" s="1"/>
  <c r="H83" i="1" s="1"/>
  <c r="H87" i="1" s="1"/>
  <c r="H92" i="1" s="1"/>
  <c r="H96" i="1" s="1"/>
  <c r="H101" i="1" s="1"/>
  <c r="H105" i="1" s="1"/>
  <c r="H109" i="1" s="1"/>
  <c r="H113" i="1" s="1"/>
  <c r="I19" i="5"/>
  <c r="F21" i="5"/>
  <c r="F33" i="5"/>
  <c r="H117" i="1" l="1"/>
  <c r="I6" i="5"/>
  <c r="I30" i="5"/>
  <c r="I7" i="5"/>
  <c r="G6" i="11"/>
  <c r="I31" i="5"/>
  <c r="G21" i="5"/>
  <c r="H121" i="1" l="1"/>
  <c r="H125" i="1" s="1"/>
  <c r="H129" i="1" s="1"/>
  <c r="H133" i="1" s="1"/>
  <c r="H137" i="1" s="1"/>
  <c r="H141" i="1" s="1"/>
  <c r="I9" i="5"/>
  <c r="I6" i="11"/>
  <c r="I9" i="11" s="1"/>
  <c r="G9" i="11"/>
  <c r="H6" i="11"/>
  <c r="I33" i="5"/>
  <c r="G33" i="5"/>
  <c r="I18" i="5"/>
  <c r="I21" i="5" s="1"/>
  <c r="G9" i="5"/>
  <c r="F9" i="5"/>
  <c r="H17" i="13" l="1"/>
  <c r="I17" i="13" s="1"/>
  <c r="H16" i="13"/>
  <c r="I16" i="13" s="1"/>
  <c r="C10" i="5"/>
  <c r="H20" i="13"/>
  <c r="I20" i="13" s="1"/>
  <c r="H18" i="13"/>
  <c r="I18" i="13" s="1"/>
  <c r="H19" i="13"/>
  <c r="I19" i="13" s="1"/>
  <c r="H15" i="13"/>
  <c r="C11" i="11"/>
  <c r="C5" i="10"/>
  <c r="I15" i="13" l="1"/>
  <c r="C21" i="13"/>
  <c r="D12" i="10"/>
  <c r="B12" i="10"/>
  <c r="F140" i="5" l="1"/>
  <c r="F80" i="5"/>
  <c r="F92" i="5"/>
  <c r="F128" i="5"/>
  <c r="F104" i="5"/>
  <c r="F116" i="5"/>
  <c r="F280" i="5"/>
  <c r="F186" i="5"/>
  <c r="F198" i="5"/>
  <c r="F210" i="5"/>
  <c r="F220" i="5"/>
  <c r="F232" i="5"/>
  <c r="F244" i="5"/>
  <c r="F150" i="5"/>
  <c r="F162" i="5"/>
  <c r="F256" i="5"/>
  <c r="F268" i="5"/>
  <c r="F174" i="5"/>
  <c r="F350" i="5"/>
  <c r="F360" i="5"/>
  <c r="F372" i="5"/>
  <c r="F290" i="5"/>
  <c r="F338" i="5"/>
  <c r="F302" i="5"/>
  <c r="F314" i="5"/>
  <c r="F326" i="5"/>
  <c r="F384" i="5"/>
  <c r="F46" i="5"/>
  <c r="F58" i="5"/>
  <c r="F70" i="5"/>
  <c r="F22" i="5"/>
  <c r="F34" i="5"/>
  <c r="F10" i="5"/>
  <c r="H21" i="13"/>
  <c r="I21" i="13"/>
  <c r="F11" i="11"/>
  <c r="G12" i="10"/>
  <c r="C22" i="5" l="1"/>
  <c r="C34" i="5" s="1"/>
  <c r="G13" i="10"/>
  <c r="C46" i="5" l="1"/>
  <c r="C58" i="5" l="1"/>
  <c r="C70" i="5" l="1"/>
  <c r="C80" i="5" s="1"/>
  <c r="C92" i="5" l="1"/>
  <c r="C104" i="5" l="1"/>
  <c r="C116" i="5" s="1"/>
  <c r="C128" i="5" s="1"/>
  <c r="C140" i="5" s="1"/>
  <c r="C150" i="5" l="1"/>
  <c r="C162" i="5" l="1"/>
  <c r="C174" i="5" s="1"/>
  <c r="C186" i="5" l="1"/>
  <c r="C198" i="5" s="1"/>
  <c r="C210" i="5" s="1"/>
  <c r="C220" i="5" s="1"/>
  <c r="C232" i="5" s="1"/>
  <c r="C244" i="5" s="1"/>
  <c r="C256" i="5" s="1"/>
  <c r="C268" i="5" s="1"/>
  <c r="C280" i="5" s="1"/>
  <c r="C290" i="5" l="1"/>
  <c r="C302" i="5" s="1"/>
  <c r="C314" i="5" s="1"/>
  <c r="H145" i="1"/>
  <c r="C326" i="5" l="1"/>
  <c r="C338" i="5" s="1"/>
  <c r="C350" i="5" s="1"/>
  <c r="C360" i="5" s="1"/>
  <c r="C372" i="5" s="1"/>
  <c r="C384" i="5" l="1"/>
</calcChain>
</file>

<file path=xl/sharedStrings.xml><?xml version="1.0" encoding="utf-8"?>
<sst xmlns="http://schemas.openxmlformats.org/spreadsheetml/2006/main" count="1202" uniqueCount="253">
  <si>
    <t>DISTRIBUCIÓN POR PUNTO DE VENTA</t>
  </si>
  <si>
    <t>CORELLA ARTAVIA VILMA</t>
  </si>
  <si>
    <t>RAZON SOCIAL</t>
  </si>
  <si>
    <t>CODIGO PROVEEDOR</t>
  </si>
  <si>
    <t>NUMERO DE CONFIRMACION</t>
  </si>
  <si>
    <t>PUNTO DE VENTA</t>
  </si>
  <si>
    <t>NOMBRE DEL PUNTO DE VENTA</t>
  </si>
  <si>
    <t>ITEM</t>
  </si>
  <si>
    <t>U/M</t>
  </si>
  <si>
    <t>CANTIDAD PEDIDA</t>
  </si>
  <si>
    <t>CANTIDAD ENVIADA</t>
  </si>
  <si>
    <t>GNL</t>
  </si>
  <si>
    <t>DESCRIPCION ESPECIFICA DE CADA ARTICULO</t>
  </si>
  <si>
    <t>Cantidad de bultos por punto de venta: 1</t>
  </si>
  <si>
    <t>Walmart Liberia</t>
  </si>
  <si>
    <t>WALMART</t>
  </si>
  <si>
    <t>Walmart San Sebastian</t>
  </si>
  <si>
    <t>Walmart Heredia</t>
  </si>
  <si>
    <t>Walmart Curridabat</t>
  </si>
  <si>
    <t xml:space="preserve">Walmart Guadalupe </t>
  </si>
  <si>
    <t>Walmart Cartago</t>
  </si>
  <si>
    <t>Walmart Escazu</t>
  </si>
  <si>
    <t>Walmart Alajuela</t>
  </si>
  <si>
    <t>Walmart Tibas</t>
  </si>
  <si>
    <t>Walmart Desamparados</t>
  </si>
  <si>
    <t>Walmart La Lima</t>
  </si>
  <si>
    <t>MAXIPALI</t>
  </si>
  <si>
    <t>Cadena</t>
  </si>
  <si>
    <t>DESCRIPCIÓN</t>
  </si>
  <si>
    <t>CODIGO INTERNO</t>
  </si>
  <si>
    <t>funda bebe rectangular verde mar docoma</t>
  </si>
  <si>
    <t>funda bebe cuadrada verde mar docoma</t>
  </si>
  <si>
    <t>juego sabana bebe verde mar docoma</t>
  </si>
  <si>
    <t>almohada y funda bebe amarilla docoma</t>
  </si>
  <si>
    <t>almohada y funda bebe rosada docoma</t>
  </si>
  <si>
    <t>almohada y funda bebe celeste docoma</t>
  </si>
  <si>
    <t>almohada y funda bebe blanca docoma</t>
  </si>
  <si>
    <t>almohada bebe sencilla celeste docoma</t>
  </si>
  <si>
    <t>almohada bebe sencilla blanca docoma</t>
  </si>
  <si>
    <t>almohada bebe sencilla verde mar docoma</t>
  </si>
  <si>
    <t>almohada bebe sencilla rosada docoma</t>
  </si>
  <si>
    <t>almohada bebe sencilla amarilla docoma</t>
  </si>
  <si>
    <t>funda bebe rectangular amarilla docoma</t>
  </si>
  <si>
    <t>funda bebe rectangular rosada docoma</t>
  </si>
  <si>
    <t>funda bebe rectangular celeste docoma</t>
  </si>
  <si>
    <t>funda bebe cuadrada amarilla docoma</t>
  </si>
  <si>
    <t>funda bebe cuadrada rosada docoma</t>
  </si>
  <si>
    <t>funda bebe cuadrada celeste docoma</t>
  </si>
  <si>
    <t>juego sabana bebe rosada docoma</t>
  </si>
  <si>
    <t>juego sabana bebe amarilla docoma</t>
  </si>
  <si>
    <t>juego sabana bebe celeste docoma</t>
  </si>
  <si>
    <t>almohada bebe sencilla estampada</t>
  </si>
  <si>
    <t>funda bebe rectangular blanca docoma</t>
  </si>
  <si>
    <t>funda bebe cuadrada blanca docoma</t>
  </si>
  <si>
    <t>juego sabana bebe blanca docoma</t>
  </si>
  <si>
    <t>juego de sabana bebe estampada</t>
  </si>
  <si>
    <t>almohada y funda bebe estampada</t>
  </si>
  <si>
    <t>funda de bebe laura liso sencilla</t>
  </si>
  <si>
    <t>almohada y funda bebe colores surtidos docoma</t>
  </si>
  <si>
    <t>CENTRO DE DISTRIBUCION</t>
  </si>
  <si>
    <t>ENTREGA DE CROSS DOCKING</t>
  </si>
  <si>
    <t xml:space="preserve">Codigo PDV: </t>
  </si>
  <si>
    <t xml:space="preserve">Orden: </t>
  </si>
  <si>
    <t xml:space="preserve">Nombre PDV: </t>
  </si>
  <si>
    <t>Cantidad Pedida</t>
  </si>
  <si>
    <t>Cantidad Enviada</t>
  </si>
  <si>
    <t>Faltante</t>
  </si>
  <si>
    <t>TOTAL</t>
  </si>
  <si>
    <t>CENTRO DE DISTRIBUCION COYOL</t>
  </si>
  <si>
    <t>REGISTRO DE PRODUCTOS A LA VENTA</t>
  </si>
  <si>
    <t>DESCRIPCIÓN ESPECIFICA</t>
  </si>
  <si>
    <t>FALTANTE</t>
  </si>
  <si>
    <t>DE CADA ARTICULO</t>
  </si>
  <si>
    <t>PEDIDA</t>
  </si>
  <si>
    <t>ORDEN DE COMPRA</t>
  </si>
  <si>
    <t>Walmart CQ San Carlos</t>
  </si>
  <si>
    <t>Walmart Perez Zeledon</t>
  </si>
  <si>
    <t>Total de bultos:</t>
  </si>
  <si>
    <t>Al proveedor se le solicita en la orden #2900671420 el ITEM #2645649 con un total de 13 bultos, los cuales no va a entregar.</t>
  </si>
  <si>
    <t>Walmart Heredia Este</t>
  </si>
  <si>
    <r>
      <t>Bultos # ____________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</si>
  <si>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</si>
  <si>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</si>
  <si>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</si>
  <si>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</si>
  <si>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</si>
  <si>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</si>
  <si>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</si>
  <si>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</si>
  <si>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</si>
  <si>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1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</si>
  <si>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</si>
  <si>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3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</si>
  <si>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4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</t>
    </r>
  </si>
  <si>
    <r>
      <t>Bultos # ____________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____________ de _______</t>
    </r>
    <r>
      <rPr>
        <u/>
        <sz val="11"/>
        <color theme="1"/>
        <rFont val="Consolas"/>
        <family val="3"/>
      </rPr>
      <t>5</t>
    </r>
    <r>
      <rPr>
        <sz val="11"/>
        <color theme="1"/>
        <rFont val="Consolas"/>
        <family val="3"/>
      </rPr>
      <t>_______</t>
    </r>
  </si>
  <si>
    <t>Maxi Naranjo</t>
  </si>
  <si>
    <t>Maxi Aserri</t>
  </si>
  <si>
    <t>Maxi Coronado</t>
  </si>
  <si>
    <t>Maxi Tamarindo</t>
  </si>
  <si>
    <t>Maxi Montecillos</t>
  </si>
  <si>
    <t>Maxi Turrialba Norte</t>
  </si>
  <si>
    <t>Maxi Santa Ana</t>
  </si>
  <si>
    <t>Maxi La Fortuna</t>
  </si>
  <si>
    <t>Maxi Upala</t>
  </si>
  <si>
    <t>Maxi Los Guido</t>
  </si>
  <si>
    <t>Maxi Guadalupe</t>
  </si>
  <si>
    <t>Maxi Palmares</t>
  </si>
  <si>
    <t>Maxi el Cruce</t>
  </si>
  <si>
    <t>Maxi Alajuela</t>
  </si>
  <si>
    <t>Maxi Ciudad Quesada</t>
  </si>
  <si>
    <t>Maxi Limon</t>
  </si>
  <si>
    <t>Maxi Liberia</t>
  </si>
  <si>
    <t>Maxi Grecia</t>
  </si>
  <si>
    <t>Maxi Jaco</t>
  </si>
  <si>
    <t>Maxi San Isidro</t>
  </si>
  <si>
    <t>Maxi San Ramon</t>
  </si>
  <si>
    <t>Maxi Puntarenas</t>
  </si>
  <si>
    <t>Maxi Turrialba</t>
  </si>
  <si>
    <t>Maxi Nicoya</t>
  </si>
  <si>
    <t>Maxi Guapiles</t>
  </si>
  <si>
    <t>Maxi Tibas</t>
  </si>
  <si>
    <t>Maxi Cañas</t>
  </si>
  <si>
    <t>Maxi Paraiso</t>
  </si>
  <si>
    <t>Maxi Quepos</t>
  </si>
  <si>
    <t>Maxi Rio Claro</t>
  </si>
  <si>
    <t>Maxi Alajuelita</t>
  </si>
  <si>
    <t>Maxi San Francisco Dos Ríos</t>
  </si>
  <si>
    <t>Maxi Santa Cruz</t>
  </si>
  <si>
    <t>Maxi Mercedes Norte</t>
  </si>
  <si>
    <t>Maxi Atenas</t>
  </si>
  <si>
    <t>Maxi Orotina</t>
  </si>
  <si>
    <t>Maxi Esparza</t>
  </si>
  <si>
    <t>Maxi Siquirres</t>
  </si>
  <si>
    <t>Maxi Pavas</t>
  </si>
  <si>
    <t>Maxi Puriscal</t>
  </si>
  <si>
    <t xml:space="preserve">Maxi Hatillo </t>
  </si>
  <si>
    <t xml:space="preserve">Maxi Aguas Zarcas </t>
  </si>
  <si>
    <t>Maxi Oreamuno</t>
  </si>
  <si>
    <t>Maxi Santa Barbara</t>
  </si>
  <si>
    <t>Maxi Parrita</t>
  </si>
  <si>
    <t>Maxi Aguas Calientes</t>
  </si>
  <si>
    <t>Maxi Centro Comercial Hatillo</t>
  </si>
  <si>
    <t>Cantidad de cajas</t>
  </si>
  <si>
    <t>Cantidad x caja</t>
  </si>
  <si>
    <t>CONFIRMACIÓN</t>
  </si>
  <si>
    <t>DEPARTAMENTO</t>
  </si>
  <si>
    <t>DE</t>
  </si>
  <si>
    <t>Bultos</t>
  </si>
  <si>
    <t>Total Unidades</t>
  </si>
  <si>
    <t>Total Bultos</t>
  </si>
  <si>
    <t>Caja</t>
  </si>
  <si>
    <t>Maxi Cariari</t>
  </si>
  <si>
    <t>Codigo</t>
  </si>
  <si>
    <t>Nombre</t>
  </si>
  <si>
    <t>Maxi Pacífica</t>
  </si>
  <si>
    <t>Maxi San Rafael (Desamparados)</t>
  </si>
  <si>
    <t>Maxi San Rafael (Alajuela)</t>
  </si>
  <si>
    <t>Maxi San Rafael (Abajo)</t>
  </si>
  <si>
    <t>Maxi San Antonio Escazú</t>
  </si>
  <si>
    <t>Maxi Playas del Coco</t>
  </si>
  <si>
    <t>Maxi Lagunilla</t>
  </si>
  <si>
    <t>Maxi San Pablo</t>
  </si>
  <si>
    <t>Maxi Uvita</t>
  </si>
  <si>
    <t>TOTAL BULTOS</t>
  </si>
  <si>
    <t>TOTAL UNIDADES</t>
  </si>
  <si>
    <t>CANTIDAD DE UNIDADES POR ITEM</t>
  </si>
  <si>
    <t>CANTIDAD DE UNIDADES POR CAJA</t>
  </si>
  <si>
    <t xml:space="preserve"> </t>
  </si>
  <si>
    <t>Maxi Curridabat (Plaza Cristal)</t>
  </si>
  <si>
    <t>Maxi Alajuela Este</t>
  </si>
  <si>
    <t>SLOT ID</t>
  </si>
  <si>
    <t>XA315</t>
  </si>
  <si>
    <t>XA247</t>
  </si>
  <si>
    <t>XA242</t>
  </si>
  <si>
    <t>XA279</t>
  </si>
  <si>
    <t>XA292</t>
  </si>
  <si>
    <t>XA249</t>
  </si>
  <si>
    <t>XA263</t>
  </si>
  <si>
    <t>XA256</t>
  </si>
  <si>
    <t>XA085</t>
  </si>
  <si>
    <t>XA073</t>
  </si>
  <si>
    <t>XA065</t>
  </si>
  <si>
    <t>XA327</t>
  </si>
  <si>
    <t>XA273</t>
  </si>
  <si>
    <t>XA268</t>
  </si>
  <si>
    <t>XA240</t>
  </si>
  <si>
    <t>XA284</t>
  </si>
  <si>
    <t>XA078</t>
  </si>
  <si>
    <t>XA271</t>
  </si>
  <si>
    <t>XA287</t>
  </si>
  <si>
    <t>XA288</t>
  </si>
  <si>
    <t>XA270</t>
  </si>
  <si>
    <t>XA211</t>
  </si>
  <si>
    <t>XA101</t>
  </si>
  <si>
    <t>XA074</t>
  </si>
  <si>
    <t>XA077</t>
  </si>
  <si>
    <t>XA241</t>
  </si>
  <si>
    <t>XA252</t>
  </si>
  <si>
    <t>XA045</t>
  </si>
  <si>
    <t>XA082</t>
  </si>
  <si>
    <t>XA021</t>
  </si>
  <si>
    <t>XA118</t>
  </si>
  <si>
    <t>XA262</t>
  </si>
  <si>
    <t>XA280</t>
  </si>
  <si>
    <t>XA253</t>
  </si>
  <si>
    <t>XA267</t>
  </si>
  <si>
    <t>XA269</t>
  </si>
  <si>
    <t>XA272</t>
  </si>
  <si>
    <t>XA094</t>
  </si>
  <si>
    <t>XA248</t>
  </si>
  <si>
    <t>XA260</t>
  </si>
  <si>
    <t>XA266</t>
  </si>
  <si>
    <t>XA032</t>
  </si>
  <si>
    <t>XA089</t>
  </si>
  <si>
    <t>XA255</t>
  </si>
  <si>
    <t>XA258</t>
  </si>
  <si>
    <t>XA110</t>
  </si>
  <si>
    <t>XA246</t>
  </si>
  <si>
    <t>XA102</t>
  </si>
  <si>
    <t>XA250</t>
  </si>
  <si>
    <t>XA243</t>
  </si>
  <si>
    <t>XA106</t>
  </si>
  <si>
    <t>XA090</t>
  </si>
  <si>
    <t>XA264</t>
  </si>
  <si>
    <t>XA275</t>
  </si>
  <si>
    <t>XA098</t>
  </si>
  <si>
    <t>XA303</t>
  </si>
  <si>
    <t>XA283</t>
  </si>
  <si>
    <t>XA113</t>
  </si>
  <si>
    <t>XA114</t>
  </si>
  <si>
    <t>XA245</t>
  </si>
  <si>
    <t>XA086</t>
  </si>
  <si>
    <t>XA274</t>
  </si>
  <si>
    <t>XA121</t>
  </si>
  <si>
    <t>XA259</t>
  </si>
  <si>
    <t>XA261</t>
  </si>
  <si>
    <t>XA339</t>
  </si>
  <si>
    <t>XA244</t>
  </si>
  <si>
    <t>XA257</t>
  </si>
  <si>
    <t>XA251</t>
  </si>
  <si>
    <t>XA056</t>
  </si>
  <si>
    <t>XA254</t>
  </si>
  <si>
    <t>XA276</t>
  </si>
  <si>
    <t>XA109</t>
  </si>
  <si>
    <t>Slot ID:</t>
  </si>
  <si>
    <t>Walmart Santa Ana</t>
  </si>
  <si>
    <t>PO</t>
  </si>
  <si>
    <t>UPC</t>
  </si>
  <si>
    <t>LINE_NBR</t>
  </si>
  <si>
    <t>STORE_NBR</t>
  </si>
  <si>
    <t>ORDENADO</t>
  </si>
  <si>
    <t>CANTIDAD A ENTREGAR</t>
  </si>
  <si>
    <t>DIFERENCIA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</si>
</sst>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5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name val="Consolas"/>
      <family val="3"/>
    </font>
    <font>
      <b/>
      <sz val="13"/>
      <name val="Consolas"/>
      <family val="3"/>
    </font>
    <font>
      <b/>
      <sz val="12"/>
      <name val="Consolas"/>
      <family val="3"/>
    </font>
    <font>
      <sz val="12"/>
      <color theme="4" tint="-0.499984740745262"/>
      <name val="Consolas"/>
      <family val="3"/>
    </font>
    <font>
      <b/>
      <sz val="11"/>
      <name val="Consolas"/>
      <family val="3"/>
    </font>
    <font>
      <sz val="11"/>
      <color theme="1"/>
      <name val="Consolas"/>
      <family val="3"/>
    </font>
    <font>
      <u/>
      <sz val="11"/>
      <color theme="1"/>
      <name val="Consolas"/>
      <family val="3"/>
    </font>
    <font>
      <sz val="11"/>
      <name val="Consolas"/>
      <family val="3"/>
    </font>
    <font>
      <sz val="12"/>
      <name val="Consolas"/>
      <family val="3"/>
    </font>
    <font>
      <u/>
      <sz val="11"/>
      <name val="Consolas"/>
      <family val="3"/>
    </font>
    <font>
      <b/>
      <sz val="12"/>
      <color theme="0"/>
      <name val="Consolas"/>
      <family val="3"/>
    </font>
    <font>
      <b/>
      <sz val="9"/>
      <color theme="0"/>
      <name val="Consolas"/>
      <family val="3"/>
    </font>
    <font>
      <b/>
      <sz val="11"/>
      <color theme="0"/>
      <name val="Consolas"/>
      <family val="3"/>
    </font>
    <font>
      <sz val="15"/>
      <name val="Consolas"/>
      <family val="3"/>
    </font>
    <font>
      <sz val="13"/>
      <name val="Consolas"/>
      <family val="3"/>
    </font>
    <font>
      <b/>
      <sz val="12"/>
      <color theme="2" tint="-0.89999084444715716"/>
      <name val="Consolas"/>
      <family val="3"/>
    </font>
    <font>
      <sz val="12"/>
      <color theme="2" tint="-0.89999084444715716"/>
      <name val="Consolas"/>
      <family val="3"/>
    </font>
    <font>
      <b/>
      <sz val="10"/>
      <color theme="0"/>
      <name val="Consolas"/>
      <family val="3"/>
    </font>
    <font>
      <b/>
      <sz val="9"/>
      <color theme="1"/>
      <name val="Consolas"/>
      <family val="3"/>
    </font>
    <font>
      <b/>
      <u/>
      <sz val="11"/>
      <name val="Consolas"/>
      <family val="3"/>
    </font>
    <font>
      <b/>
      <sz val="9"/>
      <name val="Consolas"/>
      <family val="3"/>
    </font>
    <font>
      <sz val="9"/>
      <name val="Consolas"/>
      <family val="3"/>
    </font>
    <font>
      <b/>
      <sz val="11"/>
      <color rgb="FF008000"/>
      <name val="Consolas"/>
      <family val="3"/>
    </font>
    <font>
      <sz val="12"/>
      <color theme="1"/>
      <name val="Consolas"/>
      <family val="3"/>
    </font>
    <font>
      <b/>
      <sz val="8"/>
      <color theme="2" tint="-0.749992370372631"/>
      <name val="Consolas"/>
      <family val="3"/>
    </font>
    <font>
      <b/>
      <sz val="12"/>
      <color theme="1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9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0" fillId="0" borderId="1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0" fontId="0" fillId="0" borderId="1" xfId="0" applyBorder="1" applyAlignment="1">
      <alignment horizontal="center"/>
    </xf>
    <xf numFmtId="1" fontId="3" fillId="2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10" xfId="0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0" fontId="16" fillId="0" borderId="0" xfId="0" applyFont="1"/>
    <xf numFmtId="1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horizontal="center" vertical="center"/>
    </xf>
    <xf numFmtId="1" fontId="18" fillId="2" borderId="1" xfId="0" applyNumberFormat="1" applyFont="1" applyFill="1" applyBorder="1" applyAlignment="1">
      <alignment horizontal="center"/>
    </xf>
    <xf numFmtId="1" fontId="18" fillId="2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" fontId="18" fillId="0" borderId="1" xfId="0" applyNumberFormat="1" applyFont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" fontId="13" fillId="0" borderId="0" xfId="0" applyNumberFormat="1" applyFont="1" applyAlignment="1">
      <alignment vertical="center" wrapText="1"/>
    </xf>
    <xf numFmtId="0" fontId="13" fillId="0" borderId="0" xfId="0" applyFont="1" applyAlignment="1">
      <alignment vertical="center"/>
    </xf>
    <xf numFmtId="0" fontId="27" fillId="7" borderId="2" xfId="0" applyFont="1" applyFill="1" applyBorder="1" applyAlignment="1">
      <alignment vertical="center"/>
    </xf>
    <xf numFmtId="0" fontId="28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 wrapText="1"/>
    </xf>
    <xf numFmtId="0" fontId="28" fillId="6" borderId="8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3" fillId="8" borderId="9" xfId="0" applyFont="1" applyFill="1" applyBorder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34" fillId="10" borderId="10" xfId="0" applyFont="1" applyFill="1" applyBorder="1" applyAlignment="1">
      <alignment horizontal="left" vertical="center"/>
    </xf>
    <xf numFmtId="0" fontId="15" fillId="0" borderId="11" xfId="0" applyFont="1" applyBorder="1" applyAlignment="1">
      <alignment horizontal="center" vertical="center"/>
    </xf>
    <xf numFmtId="0" fontId="35" fillId="7" borderId="8" xfId="0" applyFont="1" applyFill="1" applyBorder="1" applyAlignment="1">
      <alignment horizontal="center" vertical="center" wrapText="1"/>
    </xf>
    <xf numFmtId="0" fontId="21" fillId="12" borderId="10" xfId="0" applyFont="1" applyFill="1" applyBorder="1" applyAlignment="1">
      <alignment horizontal="center" vertical="center" wrapText="1"/>
    </xf>
    <xf numFmtId="0" fontId="21" fillId="12" borderId="11" xfId="0" applyFont="1" applyFill="1" applyBorder="1" applyAlignment="1">
      <alignment horizontal="center" vertical="center" wrapText="1"/>
    </xf>
    <xf numFmtId="0" fontId="21" fillId="12" borderId="12" xfId="0" applyFont="1" applyFill="1" applyBorder="1" applyAlignment="1">
      <alignment horizontal="center" vertical="center" wrapText="1"/>
    </xf>
    <xf numFmtId="0" fontId="16" fillId="11" borderId="5" xfId="0" applyFont="1" applyFill="1" applyBorder="1" applyAlignment="1">
      <alignment horizontal="center" vertical="center" wrapText="1"/>
    </xf>
    <xf numFmtId="0" fontId="16" fillId="11" borderId="6" xfId="0" applyFont="1" applyFill="1" applyBorder="1" applyAlignment="1">
      <alignment horizontal="center" vertical="center" wrapText="1"/>
    </xf>
    <xf numFmtId="0" fontId="16" fillId="11" borderId="7" xfId="0" applyFont="1" applyFill="1" applyBorder="1" applyAlignment="1">
      <alignment horizontal="center" vertical="center" wrapText="1"/>
    </xf>
    <xf numFmtId="0" fontId="16" fillId="7" borderId="10" xfId="0" applyFont="1" applyFill="1" applyBorder="1" applyAlignment="1">
      <alignment horizontal="center" vertical="center" wrapText="1"/>
    </xf>
    <xf numFmtId="0" fontId="16" fillId="7" borderId="11" xfId="0" applyFont="1" applyFill="1" applyBorder="1" applyAlignment="1">
      <alignment horizontal="center" vertical="center" wrapText="1"/>
    </xf>
    <xf numFmtId="0" fontId="16" fillId="7" borderId="12" xfId="0" applyFont="1" applyFill="1" applyBorder="1" applyAlignment="1">
      <alignment horizontal="center" vertical="center" wrapText="1"/>
    </xf>
    <xf numFmtId="0" fontId="16" fillId="11" borderId="0" xfId="0" applyFont="1" applyFill="1" applyAlignment="1">
      <alignment horizontal="center" vertical="center" wrapText="1"/>
    </xf>
    <xf numFmtId="0" fontId="16" fillId="11" borderId="16" xfId="0" applyFont="1" applyFill="1" applyBorder="1" applyAlignment="1">
      <alignment horizontal="center" vertical="center" wrapText="1"/>
    </xf>
    <xf numFmtId="1" fontId="23" fillId="6" borderId="11" xfId="0" applyNumberFormat="1" applyFont="1" applyFill="1" applyBorder="1" applyAlignment="1">
      <alignment horizontal="center" vertical="center"/>
    </xf>
    <xf numFmtId="1" fontId="23" fillId="6" borderId="12" xfId="0" applyNumberFormat="1" applyFont="1" applyFill="1" applyBorder="1" applyAlignment="1">
      <alignment horizontal="center" vertical="center"/>
    </xf>
    <xf numFmtId="0" fontId="36" fillId="7" borderId="11" xfId="0" applyFont="1" applyFill="1" applyBorder="1" applyAlignment="1">
      <alignment horizontal="left" vertical="center"/>
    </xf>
    <xf numFmtId="0" fontId="34" fillId="7" borderId="2" xfId="0" applyFont="1" applyFill="1" applyBorder="1" applyAlignment="1">
      <alignment vertical="center"/>
    </xf>
    <xf numFmtId="0" fontId="28" fillId="12" borderId="1" xfId="0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 vertical="center" wrapText="1"/>
    </xf>
    <xf numFmtId="0" fontId="22" fillId="12" borderId="12" xfId="0" applyFont="1" applyFill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1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2" fillId="0" borderId="10" xfId="0" applyFont="1" applyBorder="1" applyAlignment="1">
      <alignment horizontal="right" vertical="center"/>
    </xf>
    <xf numFmtId="0" fontId="32" fillId="0" borderId="11" xfId="0" applyFont="1" applyBorder="1" applyAlignment="1">
      <alignment horizontal="right" vertical="center"/>
    </xf>
    <xf numFmtId="0" fontId="16" fillId="0" borderId="11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left" vertical="center" wrapText="1"/>
    </xf>
    <xf numFmtId="0" fontId="21" fillId="12" borderId="4" xfId="0" applyFont="1" applyFill="1" applyBorder="1" applyAlignment="1">
      <alignment horizontal="center" vertical="center" wrapText="1"/>
    </xf>
    <xf numFmtId="0" fontId="21" fillId="12" borderId="7" xfId="0" applyFont="1" applyFill="1" applyBorder="1" applyAlignment="1">
      <alignment horizontal="center" vertical="center" wrapText="1"/>
    </xf>
    <xf numFmtId="0" fontId="21" fillId="12" borderId="3" xfId="0" applyFont="1" applyFill="1" applyBorder="1" applyAlignment="1">
      <alignment horizontal="center" vertical="center" wrapText="1"/>
    </xf>
    <xf numFmtId="0" fontId="21" fillId="12" borderId="6" xfId="0" applyFont="1" applyFill="1" applyBorder="1" applyAlignment="1">
      <alignment horizontal="center" vertical="center" wrapText="1"/>
    </xf>
    <xf numFmtId="0" fontId="21" fillId="12" borderId="2" xfId="0" applyFont="1" applyFill="1" applyBorder="1" applyAlignment="1">
      <alignment horizontal="center" vertical="center" wrapText="1"/>
    </xf>
    <xf numFmtId="0" fontId="21" fillId="12" borderId="5" xfId="0" applyFont="1" applyFill="1" applyBorder="1" applyAlignment="1">
      <alignment horizontal="center" vertical="center" wrapText="1"/>
    </xf>
    <xf numFmtId="0" fontId="16" fillId="7" borderId="10" xfId="0" applyFont="1" applyFill="1" applyBorder="1" applyAlignment="1">
      <alignment horizontal="center" vertical="center" wrapText="1"/>
    </xf>
    <xf numFmtId="0" fontId="16" fillId="7" borderId="11" xfId="0" applyFont="1" applyFill="1" applyBorder="1" applyAlignment="1">
      <alignment horizontal="center" vertical="center" wrapText="1"/>
    </xf>
    <xf numFmtId="0" fontId="16" fillId="11" borderId="15" xfId="0" applyFont="1" applyFill="1" applyBorder="1" applyAlignment="1">
      <alignment horizontal="center" vertical="center" wrapText="1"/>
    </xf>
    <xf numFmtId="0" fontId="16" fillId="11" borderId="0" xfId="0" applyFont="1" applyFill="1" applyAlignment="1">
      <alignment horizontal="center" vertical="center" wrapText="1"/>
    </xf>
    <xf numFmtId="0" fontId="13" fillId="0" borderId="6" xfId="0" applyFont="1" applyBorder="1" applyAlignment="1">
      <alignment horizontal="center" wrapText="1"/>
    </xf>
    <xf numFmtId="0" fontId="21" fillId="12" borderId="11" xfId="0" applyFont="1" applyFill="1" applyBorder="1" applyAlignment="1">
      <alignment horizontal="center" vertical="center" wrapText="1"/>
    </xf>
    <xf numFmtId="0" fontId="23" fillId="6" borderId="10" xfId="0" applyFont="1" applyFill="1" applyBorder="1" applyAlignment="1">
      <alignment horizontal="center" vertical="center"/>
    </xf>
    <xf numFmtId="0" fontId="23" fillId="6" borderId="11" xfId="0" applyFont="1" applyFill="1" applyBorder="1" applyAlignment="1">
      <alignment horizontal="center" vertical="center"/>
    </xf>
    <xf numFmtId="1" fontId="23" fillId="6" borderId="11" xfId="0" applyNumberFormat="1" applyFont="1" applyFill="1" applyBorder="1" applyAlignment="1">
      <alignment horizontal="center" vertical="center"/>
    </xf>
    <xf numFmtId="0" fontId="16" fillId="11" borderId="11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1" fontId="15" fillId="0" borderId="11" xfId="0" applyNumberFormat="1" applyFont="1" applyBorder="1" applyAlignment="1">
      <alignment horizontal="center" vertical="center"/>
    </xf>
    <xf numFmtId="1" fontId="15" fillId="0" borderId="12" xfId="0" applyNumberFormat="1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36" fillId="7" borderId="2" xfId="0" applyFont="1" applyFill="1" applyBorder="1" applyAlignment="1">
      <alignment horizontal="center" vertical="center"/>
    </xf>
    <xf numFmtId="0" fontId="36" fillId="7" borderId="3" xfId="0" applyFont="1" applyFill="1" applyBorder="1" applyAlignment="1">
      <alignment horizontal="center" vertical="center"/>
    </xf>
    <xf numFmtId="0" fontId="36" fillId="7" borderId="4" xfId="0" applyFont="1" applyFill="1" applyBorder="1" applyAlignment="1">
      <alignment horizontal="center" vertical="center"/>
    </xf>
    <xf numFmtId="0" fontId="36" fillId="7" borderId="5" xfId="0" applyFont="1" applyFill="1" applyBorder="1" applyAlignment="1">
      <alignment horizontal="center" vertical="center"/>
    </xf>
    <xf numFmtId="0" fontId="36" fillId="7" borderId="6" xfId="0" applyFont="1" applyFill="1" applyBorder="1" applyAlignment="1">
      <alignment horizontal="center" vertical="center"/>
    </xf>
    <xf numFmtId="0" fontId="36" fillId="7" borderId="7" xfId="0" applyFont="1" applyFill="1" applyBorder="1" applyAlignment="1">
      <alignment horizontal="center" vertical="center"/>
    </xf>
    <xf numFmtId="0" fontId="34" fillId="7" borderId="10" xfId="0" applyFont="1" applyFill="1" applyBorder="1" applyAlignment="1">
      <alignment horizontal="left" vertical="center"/>
    </xf>
    <xf numFmtId="0" fontId="34" fillId="7" borderId="11" xfId="0" applyFont="1" applyFill="1" applyBorder="1" applyAlignment="1">
      <alignment horizontal="left" vertical="center"/>
    </xf>
    <xf numFmtId="0" fontId="34" fillId="10" borderId="11" xfId="0" applyFont="1" applyFill="1" applyBorder="1" applyAlignment="1">
      <alignment horizontal="left" vertical="center"/>
    </xf>
    <xf numFmtId="0" fontId="34" fillId="10" borderId="12" xfId="0" applyFont="1" applyFill="1" applyBorder="1" applyAlignment="1">
      <alignment horizontal="left" vertical="center"/>
    </xf>
    <xf numFmtId="0" fontId="36" fillId="7" borderId="11" xfId="0" applyFont="1" applyFill="1" applyBorder="1" applyAlignment="1">
      <alignment horizontal="right" vertical="center"/>
    </xf>
    <xf numFmtId="0" fontId="36" fillId="7" borderId="12" xfId="0" applyFont="1" applyFill="1" applyBorder="1" applyAlignment="1">
      <alignment horizontal="right" vertical="center"/>
    </xf>
    <xf numFmtId="0" fontId="36" fillId="7" borderId="11" xfId="0" applyFont="1" applyFill="1" applyBorder="1" applyAlignment="1">
      <alignment horizontal="left" vertical="center"/>
    </xf>
    <xf numFmtId="0" fontId="36" fillId="7" borderId="12" xfId="0" applyFont="1" applyFill="1" applyBorder="1" applyAlignment="1">
      <alignment horizontal="left" vertical="center"/>
    </xf>
    <xf numFmtId="0" fontId="28" fillId="12" borderId="10" xfId="0" applyFont="1" applyFill="1" applyBorder="1" applyAlignment="1">
      <alignment horizontal="center" vertical="center"/>
    </xf>
    <xf numFmtId="0" fontId="28" fillId="12" borderId="12" xfId="0" applyFont="1" applyFill="1" applyBorder="1" applyAlignment="1">
      <alignment horizontal="center" vertical="center"/>
    </xf>
    <xf numFmtId="0" fontId="22" fillId="12" borderId="10" xfId="0" applyFont="1" applyFill="1" applyBorder="1" applyAlignment="1">
      <alignment horizontal="center" vertical="center" wrapText="1"/>
    </xf>
    <xf numFmtId="0" fontId="22" fillId="12" borderId="12" xfId="0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1" fontId="15" fillId="0" borderId="3" xfId="0" applyNumberFormat="1" applyFont="1" applyBorder="1" applyAlignment="1">
      <alignment horizontal="center" vertical="center"/>
    </xf>
    <xf numFmtId="1" fontId="15" fillId="0" borderId="4" xfId="0" applyNumberFormat="1" applyFont="1" applyBorder="1" applyAlignment="1">
      <alignment horizontal="center" vertical="center"/>
    </xf>
    <xf numFmtId="0" fontId="18" fillId="0" borderId="14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" fillId="0" borderId="6" xfId="0" applyFont="1" applyBorder="1" applyAlignment="1">
      <alignment horizontal="center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" fillId="0" borderId="10" xfId="0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16" fillId="0" borderId="1" xfId="0" applyFont="1" applyBorder="1" applyAlignment="1">
      <alignment horizontal="left" vertical="center"/>
    </xf>
    <xf numFmtId="0" fontId="27" fillId="7" borderId="10" xfId="0" applyFont="1" applyFill="1" applyBorder="1" applyAlignment="1">
      <alignment horizontal="left" vertical="center"/>
    </xf>
    <xf numFmtId="0" fontId="27" fillId="7" borderId="11" xfId="0" applyFont="1" applyFill="1" applyBorder="1" applyAlignment="1">
      <alignment horizontal="left" vertical="center"/>
    </xf>
    <xf numFmtId="0" fontId="26" fillId="7" borderId="11" xfId="0" applyFont="1" applyFill="1" applyBorder="1" applyAlignment="1">
      <alignment horizontal="left" vertical="center"/>
    </xf>
    <xf numFmtId="0" fontId="26" fillId="7" borderId="12" xfId="0" applyFont="1" applyFill="1" applyBorder="1" applyAlignment="1">
      <alignment horizontal="left" vertical="center"/>
    </xf>
    <xf numFmtId="0" fontId="20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1" fontId="30" fillId="0" borderId="11" xfId="0" applyNumberFormat="1" applyFont="1" applyBorder="1" applyAlignment="1">
      <alignment horizontal="center" vertical="center"/>
    </xf>
    <xf numFmtId="1" fontId="30" fillId="0" borderId="12" xfId="0" applyNumberFormat="1" applyFont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6" borderId="12" xfId="0" applyFont="1" applyFill="1" applyBorder="1" applyAlignment="1">
      <alignment horizontal="center" vertical="center"/>
    </xf>
    <xf numFmtId="0" fontId="22" fillId="6" borderId="10" xfId="0" applyFont="1" applyFill="1" applyBorder="1" applyAlignment="1">
      <alignment horizontal="center" vertical="center" wrapText="1"/>
    </xf>
    <xf numFmtId="0" fontId="22" fillId="6" borderId="12" xfId="0" applyFont="1" applyFill="1" applyBorder="1" applyAlignment="1">
      <alignment horizontal="center" vertical="center" wrapText="1"/>
    </xf>
    <xf numFmtId="0" fontId="26" fillId="7" borderId="2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4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26" fillId="7" borderId="7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right" vertical="center"/>
    </xf>
    <xf numFmtId="0" fontId="26" fillId="7" borderId="12" xfId="0" applyFont="1" applyFill="1" applyBorder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22" fillId="6" borderId="8" xfId="0" applyFont="1" applyFill="1" applyBorder="1" applyAlignment="1">
      <alignment horizontal="center" vertical="center" wrapText="1"/>
    </xf>
    <xf numFmtId="0" fontId="22" fillId="6" borderId="9" xfId="0" applyFont="1" applyFill="1" applyBorder="1" applyAlignment="1">
      <alignment horizontal="center" vertical="center" wrapText="1"/>
    </xf>
    <xf numFmtId="0" fontId="29" fillId="0" borderId="10" xfId="0" applyFont="1" applyBorder="1" applyAlignment="1">
      <alignment horizontal="left" vertical="center"/>
    </xf>
    <xf numFmtId="0" fontId="29" fillId="0" borderId="11" xfId="0" applyFont="1" applyBorder="1" applyAlignment="1">
      <alignment horizontal="left" vertical="center"/>
    </xf>
    <xf numFmtId="0" fontId="29" fillId="0" borderId="12" xfId="0" applyFont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1" fontId="1" fillId="0" borderId="17" xfId="0" applyNumberFormat="1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right" vertical="center"/>
    </xf>
  </cellXfs>
  <cellStyles count="1">
    <cellStyle name="Normal" xfId="0" builtinId="0"/>
  </cellStyles>
  <dxfs count="11"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</dxf>
  </dxfs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3114F5-FEB6-AF46-A3F7-6EBA28A55475}" name="Tabla1" displayName="Tabla1" ref="A1:H43" totalsRowShown="0">
  <autoFilter ref="A1:H43" xr:uid="{CD3114F5-FEB6-AF46-A3F7-6EBA28A55475}"/>
  <tableColumns count="8">
    <tableColumn id="1" xr3:uid="{EC57292F-F962-FB47-8DB3-8848F4104FB4}" name="PO"/>
    <tableColumn id="2" xr3:uid="{ACDBB660-033B-8F4F-9AD3-DAA94BF914B6}" name="UPC" dataDxfId="10"/>
    <tableColumn id="3" xr3:uid="{58A3441E-0BAC-B74E-9236-9D31A1E782C3}" name="LINE_NBR"/>
    <tableColumn id="4" xr3:uid="{BB6515FA-5053-FE45-BB8A-D10FC20E81CE}" name="ITEM"/>
    <tableColumn id="5" xr3:uid="{BC5FCB7F-E398-6A40-B301-1821EFBDE00B}" name="STORE_NBR"/>
    <tableColumn id="6" xr3:uid="{AAC343E4-A9DB-9543-902A-D2F408A3EE44}" name="ORDENADO"/>
    <tableColumn id="7" xr3:uid="{1650B439-E133-3847-BCE5-3C760451C2C8}" name="CANTIDAD A ENTREGAR"/>
    <tableColumn id="8" xr3:uid="{6E21A33D-D953-DC47-9562-8640F90305C4}" name="DIFERENCIA">
      <calculatedColumnFormula>F2-G2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2EFFBD-5FAF-A44F-972A-E478048513D1}" name="Tabla2" displayName="Tabla2" ref="A8:H12" totalsRowShown="0" headerRowDxfId="0" tableBorderDxfId="9">
  <autoFilter ref="A8:H12" xr:uid="{4C2EFFBD-5FAF-A44F-972A-E478048513D1}"/>
  <tableColumns count="8">
    <tableColumn id="1" xr3:uid="{E27731E2-AA1A-9C42-BBB0-95253EC3585C}" name="PUNTO DE VENTA" dataDxfId="8"/>
    <tableColumn id="2" xr3:uid="{BE850CE6-3C08-C34F-8060-36126FA5BBCD}" name="NOMBRE DEL PUNTO DE VENTA" dataDxfId="7">
      <calculatedColumnFormula>VLOOKUP(A9,'PUNTOS DE VENTA'!A$2:B$75,2)</calculatedColumnFormula>
    </tableColumn>
    <tableColumn id="3" xr3:uid="{E1DF04A7-B7B1-7D43-9E28-AEB3D9A8C306}" name="ITEM" dataDxfId="6"/>
    <tableColumn id="4" xr3:uid="{2F561690-9DF1-3848-AE5B-EDBA0806CFED}" name="DESCRIPCION ESPECIFICA DE CADA ARTICULO" dataDxfId="5">
      <calculatedColumnFormula>VLOOKUP(C9,CATALOGO!$A$8:$C$36,3)</calculatedColumnFormula>
    </tableColumn>
    <tableColumn id="7" xr3:uid="{33FC26E0-BB94-A842-A8F3-B6135CAD8D2D}" name="GNL" dataDxfId="4"/>
    <tableColumn id="8" xr3:uid="{ADD3C593-7352-914C-A2EC-C67089480E5D}" name="U/M" dataDxfId="3"/>
    <tableColumn id="9" xr3:uid="{7B37322F-866B-B146-862A-11D1B6E1AAFD}" name="CANTIDAD PEDIDA" dataDxfId="2"/>
    <tableColumn id="10" xr3:uid="{A82F8B40-6782-0D42-8CD2-91E08DA6F4B8}" name="CANTIDAD ENVIADA" dataDxfId="1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4538-006F-4377-9D68-822770DF2DAC}">
  <sheetPr codeName="Hoja1">
    <pageSetUpPr fitToPage="1"/>
  </sheetPr>
  <dimension ref="A1:H146"/>
  <sheetViews>
    <sheetView zoomScale="139" zoomScaleNormal="150" workbookViewId="0">
      <selection activeCell="D7" sqref="D7"/>
    </sheetView>
  </sheetViews>
  <sheetFormatPr baseColWidth="10" defaultColWidth="10.83203125" defaultRowHeight="15" x14ac:dyDescent="0.2"/>
  <cols>
    <col min="1" max="1" width="8" style="25" customWidth="1"/>
    <col min="2" max="2" width="32.83203125" style="25" bestFit="1" customWidth="1"/>
    <col min="3" max="3" width="8.1640625" style="25" bestFit="1" customWidth="1"/>
    <col min="4" max="4" width="47.33203125" style="25" bestFit="1" customWidth="1"/>
    <col min="5" max="5" width="14.1640625" style="26" bestFit="1" customWidth="1"/>
    <col min="6" max="6" width="3.1640625" style="26" bestFit="1" customWidth="1"/>
    <col min="7" max="8" width="8.33203125" style="27" customWidth="1"/>
    <col min="9" max="16384" width="10.83203125" style="25"/>
  </cols>
  <sheetData>
    <row r="1" spans="1:8" s="21" customFormat="1" ht="17" x14ac:dyDescent="0.2">
      <c r="A1" s="83" t="s">
        <v>167</v>
      </c>
      <c r="B1" s="83"/>
      <c r="C1" s="83"/>
      <c r="D1" s="83"/>
      <c r="E1" s="83"/>
      <c r="F1" s="83"/>
      <c r="G1" s="83"/>
      <c r="H1" s="83"/>
    </row>
    <row r="2" spans="1:8" s="21" customFormat="1" ht="16" x14ac:dyDescent="0.2">
      <c r="A2" s="87" t="s">
        <v>2</v>
      </c>
      <c r="B2" s="87"/>
      <c r="C2" s="85" t="s">
        <v>1</v>
      </c>
      <c r="D2" s="85"/>
      <c r="E2" s="86" t="s">
        <v>144</v>
      </c>
      <c r="F2" s="86"/>
      <c r="G2" s="84">
        <v>42150458</v>
      </c>
      <c r="H2" s="84"/>
    </row>
    <row r="3" spans="1:8" s="21" customFormat="1" ht="16" x14ac:dyDescent="0.2">
      <c r="A3" s="87" t="s">
        <v>3</v>
      </c>
      <c r="B3" s="87"/>
      <c r="C3" s="85">
        <v>19596262</v>
      </c>
      <c r="D3" s="85"/>
      <c r="E3" s="85"/>
      <c r="F3" s="85"/>
      <c r="G3" s="85"/>
      <c r="H3" s="85"/>
    </row>
    <row r="4" spans="1:8" s="21" customFormat="1" ht="16" x14ac:dyDescent="0.2">
      <c r="A4" s="87" t="s">
        <v>74</v>
      </c>
      <c r="B4" s="87"/>
      <c r="C4" s="85">
        <v>2900678609</v>
      </c>
      <c r="D4" s="85"/>
      <c r="E4" s="86" t="s">
        <v>145</v>
      </c>
      <c r="F4" s="86"/>
      <c r="G4" s="84">
        <v>26</v>
      </c>
      <c r="H4" s="84"/>
    </row>
    <row r="5" spans="1:8" s="21" customFormat="1" ht="16" x14ac:dyDescent="0.2">
      <c r="A5" s="82"/>
      <c r="B5" s="82"/>
      <c r="C5" s="82"/>
      <c r="D5" s="82"/>
      <c r="E5" s="82"/>
      <c r="F5" s="82"/>
      <c r="G5" s="82"/>
      <c r="H5" s="82"/>
    </row>
    <row r="6" spans="1:8" s="22" customFormat="1" ht="20" customHeight="1" x14ac:dyDescent="0.2">
      <c r="A6" s="55" t="s">
        <v>5</v>
      </c>
      <c r="B6" s="55" t="s">
        <v>6</v>
      </c>
      <c r="C6" s="55" t="s">
        <v>7</v>
      </c>
      <c r="D6" s="55" t="s">
        <v>12</v>
      </c>
      <c r="E6" s="55" t="s">
        <v>11</v>
      </c>
      <c r="F6" s="55" t="s">
        <v>8</v>
      </c>
      <c r="G6" s="55" t="s">
        <v>9</v>
      </c>
      <c r="H6" s="55" t="s">
        <v>10</v>
      </c>
    </row>
    <row r="7" spans="1:8" s="22" customFormat="1" x14ac:dyDescent="0.2">
      <c r="A7" s="39">
        <v>1046</v>
      </c>
      <c r="B7" s="39" t="str">
        <f>VLOOKUP(A7,'PUNTOS DE VENTA'!A$2:B$75,2)</f>
        <v>Walmart Santa Ana</v>
      </c>
      <c r="C7" s="39">
        <v>2647973</v>
      </c>
      <c r="D7" s="39" t="str">
        <f>VLOOKUP(C7,CATALOGO!$A$8:$C$36,3)</f>
        <v>almohada bebe sencilla estampada</v>
      </c>
      <c r="E7" s="24">
        <f>VLOOKUP(C7,CATALOGO!$A$8:$C$36,2)</f>
        <v>7441119600768</v>
      </c>
      <c r="F7" s="24">
        <v>3</v>
      </c>
      <c r="G7" s="39">
        <v>1</v>
      </c>
      <c r="H7" s="39">
        <f>G7</f>
        <v>1</v>
      </c>
    </row>
    <row r="8" spans="1:8" s="22" customFormat="1" x14ac:dyDescent="0.2">
      <c r="A8" s="78" t="s">
        <v>150</v>
      </c>
      <c r="B8" s="79"/>
      <c r="C8" s="79"/>
      <c r="D8" s="79"/>
      <c r="E8" s="79"/>
      <c r="F8" s="79"/>
      <c r="G8" s="79"/>
      <c r="H8" s="48">
        <f>COUNTIF($A$1:H6, "ITEM")</f>
        <v>1</v>
      </c>
    </row>
    <row r="9" spans="1:8" ht="10" customHeight="1" x14ac:dyDescent="0.2">
      <c r="A9" s="80"/>
      <c r="B9" s="80"/>
      <c r="C9" s="80"/>
      <c r="D9" s="80"/>
      <c r="E9" s="80"/>
      <c r="F9" s="80"/>
      <c r="G9" s="80"/>
      <c r="H9" s="80"/>
    </row>
    <row r="10" spans="1:8" s="22" customFormat="1" ht="20" customHeight="1" x14ac:dyDescent="0.2">
      <c r="A10" s="55" t="s">
        <v>5</v>
      </c>
      <c r="B10" s="55" t="s">
        <v>6</v>
      </c>
      <c r="C10" s="55" t="s">
        <v>7</v>
      </c>
      <c r="D10" s="55" t="s">
        <v>12</v>
      </c>
      <c r="E10" s="55" t="s">
        <v>11</v>
      </c>
      <c r="F10" s="55" t="s">
        <v>8</v>
      </c>
      <c r="G10" s="55" t="s">
        <v>9</v>
      </c>
      <c r="H10" s="55" t="s">
        <v>10</v>
      </c>
    </row>
    <row r="11" spans="1:8" s="22" customFormat="1" x14ac:dyDescent="0.2">
      <c r="A11" s="39">
        <v>3048</v>
      </c>
      <c r="B11" s="39" t="str">
        <f>VLOOKUP(A11,'PUNTOS DE VENTA'!A$2:B$75,2)</f>
        <v>Maxi Guadalupe</v>
      </c>
      <c r="C11" s="39">
        <v>2645516</v>
      </c>
      <c r="D11" s="39" t="str">
        <f>VLOOKUP(C11,CATALOGO!$A$8:$C$36,3)</f>
        <v>almohada y funda bebe colores surtidos docoma</v>
      </c>
      <c r="E11" s="24">
        <f>VLOOKUP(C11,CATALOGO!$A$8:$C$36,2)</f>
        <v>7441119600652</v>
      </c>
      <c r="F11" s="24">
        <v>3</v>
      </c>
      <c r="G11" s="39">
        <v>1</v>
      </c>
      <c r="H11" s="39">
        <f>G11</f>
        <v>1</v>
      </c>
    </row>
    <row r="12" spans="1:8" s="22" customFormat="1" x14ac:dyDescent="0.2">
      <c r="A12" s="39">
        <v>3048</v>
      </c>
      <c r="B12" s="39" t="str">
        <f>VLOOKUP(A12,'PUNTOS DE VENTA'!A$2:B$75,2)</f>
        <v>Maxi Guadalupe</v>
      </c>
      <c r="C12" s="39">
        <v>2647973</v>
      </c>
      <c r="D12" s="39" t="str">
        <f>VLOOKUP(C12,CATALOGO!$A$8:$C$36,3)</f>
        <v>almohada bebe sencilla estampada</v>
      </c>
      <c r="E12" s="24">
        <f>VLOOKUP(C12,CATALOGO!$A$8:$C$36,2)</f>
        <v>7441119600768</v>
      </c>
      <c r="F12" s="24">
        <v>3</v>
      </c>
      <c r="G12" s="39">
        <v>1</v>
      </c>
      <c r="H12" s="39">
        <f>G12</f>
        <v>1</v>
      </c>
    </row>
    <row r="13" spans="1:8" s="22" customFormat="1" x14ac:dyDescent="0.2">
      <c r="A13" s="78" t="s">
        <v>150</v>
      </c>
      <c r="B13" s="79"/>
      <c r="C13" s="79"/>
      <c r="D13" s="79"/>
      <c r="E13" s="79"/>
      <c r="F13" s="79"/>
      <c r="G13" s="79"/>
      <c r="H13" s="48">
        <f>COUNTIF($A$1:H10, "ITEM")</f>
        <v>2</v>
      </c>
    </row>
    <row r="14" spans="1:8" ht="10" customHeight="1" x14ac:dyDescent="0.2">
      <c r="A14" s="80"/>
      <c r="B14" s="80"/>
      <c r="C14" s="80"/>
      <c r="D14" s="80"/>
      <c r="E14" s="80"/>
      <c r="F14" s="80"/>
      <c r="G14" s="80"/>
      <c r="H14" s="80"/>
    </row>
    <row r="15" spans="1:8" s="22" customFormat="1" ht="20" customHeight="1" x14ac:dyDescent="0.2">
      <c r="A15" s="55" t="s">
        <v>5</v>
      </c>
      <c r="B15" s="55" t="s">
        <v>6</v>
      </c>
      <c r="C15" s="55" t="s">
        <v>7</v>
      </c>
      <c r="D15" s="55" t="s">
        <v>12</v>
      </c>
      <c r="E15" s="55" t="s">
        <v>11</v>
      </c>
      <c r="F15" s="55" t="s">
        <v>8</v>
      </c>
      <c r="G15" s="55" t="s">
        <v>9</v>
      </c>
      <c r="H15" s="55" t="s">
        <v>10</v>
      </c>
    </row>
    <row r="16" spans="1:8" s="22" customFormat="1" x14ac:dyDescent="0.2">
      <c r="A16" s="39">
        <v>3112</v>
      </c>
      <c r="B16" s="39" t="str">
        <f>VLOOKUP(A16,'PUNTOS DE VENTA'!A$2:B$75,2)</f>
        <v>Maxi Pacífica</v>
      </c>
      <c r="C16" s="39">
        <v>2645516</v>
      </c>
      <c r="D16" s="23" t="str">
        <f>VLOOKUP(C16,CATALOGO!$A$8:$C$36,3)</f>
        <v>almohada y funda bebe colores surtidos docoma</v>
      </c>
      <c r="E16" s="24">
        <f>VLOOKUP(C16,CATALOGO!$A$8:$C$36,2)</f>
        <v>7441119600652</v>
      </c>
      <c r="F16" s="24">
        <v>3</v>
      </c>
      <c r="G16" s="39">
        <v>2</v>
      </c>
      <c r="H16" s="39">
        <v>1</v>
      </c>
    </row>
    <row r="17" spans="1:8" s="22" customFormat="1" x14ac:dyDescent="0.2">
      <c r="A17" s="39">
        <v>3112</v>
      </c>
      <c r="B17" s="39" t="str">
        <f>VLOOKUP(A17,'PUNTOS DE VENTA'!A$2:B$75,2)</f>
        <v>Maxi Pacífica</v>
      </c>
      <c r="C17" s="39">
        <v>2647973</v>
      </c>
      <c r="D17" s="23" t="str">
        <f>VLOOKUP(C17,CATALOGO!$A$8:$C$36,3)</f>
        <v>almohada bebe sencilla estampada</v>
      </c>
      <c r="E17" s="24">
        <f>VLOOKUP(C17,CATALOGO!$A$8:$C$36,2)</f>
        <v>7441119600768</v>
      </c>
      <c r="F17" s="24">
        <v>3</v>
      </c>
      <c r="G17" s="39">
        <v>4</v>
      </c>
      <c r="H17" s="39">
        <f>G17</f>
        <v>4</v>
      </c>
    </row>
    <row r="18" spans="1:8" s="22" customFormat="1" x14ac:dyDescent="0.2">
      <c r="A18" s="78" t="s">
        <v>150</v>
      </c>
      <c r="B18" s="79"/>
      <c r="C18" s="79"/>
      <c r="D18" s="79"/>
      <c r="E18" s="79"/>
      <c r="F18" s="79"/>
      <c r="G18" s="79"/>
      <c r="H18" s="48">
        <f>COUNTIF($A$1:H15, "ITEM")</f>
        <v>3</v>
      </c>
    </row>
    <row r="19" spans="1:8" ht="10" customHeight="1" x14ac:dyDescent="0.2">
      <c r="A19" s="80"/>
      <c r="B19" s="80"/>
      <c r="C19" s="80"/>
      <c r="D19" s="80"/>
      <c r="E19" s="80"/>
      <c r="F19" s="80"/>
      <c r="G19" s="80"/>
      <c r="H19" s="80"/>
    </row>
    <row r="20" spans="1:8" s="22" customFormat="1" ht="20" customHeight="1" x14ac:dyDescent="0.2">
      <c r="A20" s="55" t="s">
        <v>5</v>
      </c>
      <c r="B20" s="55" t="s">
        <v>6</v>
      </c>
      <c r="C20" s="55" t="s">
        <v>7</v>
      </c>
      <c r="D20" s="55" t="s">
        <v>12</v>
      </c>
      <c r="E20" s="55" t="s">
        <v>11</v>
      </c>
      <c r="F20" s="55" t="s">
        <v>8</v>
      </c>
      <c r="G20" s="55" t="s">
        <v>9</v>
      </c>
      <c r="H20" s="55" t="s">
        <v>10</v>
      </c>
    </row>
    <row r="21" spans="1:8" s="22" customFormat="1" x14ac:dyDescent="0.2">
      <c r="A21" s="39">
        <v>3700</v>
      </c>
      <c r="B21" s="39" t="str">
        <f>VLOOKUP(A21,'PUNTOS DE VENTA'!A$2:B$75,2)</f>
        <v>Walmart San Sebastian</v>
      </c>
      <c r="C21" s="39">
        <v>2645516</v>
      </c>
      <c r="D21" s="23" t="str">
        <f>VLOOKUP(C21,CATALOGO!$A$8:$C$36,3)</f>
        <v>almohada y funda bebe colores surtidos docoma</v>
      </c>
      <c r="E21" s="24">
        <f>VLOOKUP(C21,CATALOGO!$A$8:$C$36,2)</f>
        <v>7441119600652</v>
      </c>
      <c r="F21" s="24">
        <v>3</v>
      </c>
      <c r="G21" s="39">
        <v>1</v>
      </c>
      <c r="H21" s="39">
        <f>G21</f>
        <v>1</v>
      </c>
    </row>
    <row r="22" spans="1:8" s="22" customFormat="1" x14ac:dyDescent="0.2">
      <c r="A22" s="78" t="s">
        <v>150</v>
      </c>
      <c r="B22" s="79"/>
      <c r="C22" s="79"/>
      <c r="D22" s="79"/>
      <c r="E22" s="79"/>
      <c r="F22" s="79"/>
      <c r="G22" s="79"/>
      <c r="H22" s="48">
        <f>COUNTIF($A$1:H20, "ITEM")</f>
        <v>4</v>
      </c>
    </row>
    <row r="23" spans="1:8" ht="10" customHeight="1" x14ac:dyDescent="0.2">
      <c r="A23" s="80"/>
      <c r="B23" s="80"/>
      <c r="C23" s="80"/>
      <c r="D23" s="80"/>
      <c r="E23" s="80"/>
      <c r="F23" s="80"/>
      <c r="G23" s="80"/>
      <c r="H23" s="80"/>
    </row>
    <row r="24" spans="1:8" s="22" customFormat="1" ht="20" customHeight="1" x14ac:dyDescent="0.2">
      <c r="A24" s="55" t="s">
        <v>5</v>
      </c>
      <c r="B24" s="55" t="s">
        <v>6</v>
      </c>
      <c r="C24" s="55" t="s">
        <v>7</v>
      </c>
      <c r="D24" s="55" t="s">
        <v>12</v>
      </c>
      <c r="E24" s="55" t="s">
        <v>11</v>
      </c>
      <c r="F24" s="55" t="s">
        <v>8</v>
      </c>
      <c r="G24" s="55" t="s">
        <v>9</v>
      </c>
      <c r="H24" s="55" t="s">
        <v>10</v>
      </c>
    </row>
    <row r="25" spans="1:8" s="22" customFormat="1" x14ac:dyDescent="0.2">
      <c r="A25" s="39">
        <v>3701</v>
      </c>
      <c r="B25" s="39" t="str">
        <f>VLOOKUP(A25,'PUNTOS DE VENTA'!A$2:B$75,2)</f>
        <v>Walmart Heredia</v>
      </c>
      <c r="C25" s="39">
        <v>2645516</v>
      </c>
      <c r="D25" s="23" t="str">
        <f>VLOOKUP(C25,CATALOGO!$A$8:$C$36,3)</f>
        <v>almohada y funda bebe colores surtidos docoma</v>
      </c>
      <c r="E25" s="24">
        <f>VLOOKUP(C25,CATALOGO!$A$8:$C$36,2)</f>
        <v>7441119600652</v>
      </c>
      <c r="F25" s="24">
        <v>3</v>
      </c>
      <c r="G25" s="39">
        <v>1</v>
      </c>
      <c r="H25" s="39">
        <f>G25</f>
        <v>1</v>
      </c>
    </row>
    <row r="26" spans="1:8" s="22" customFormat="1" x14ac:dyDescent="0.2">
      <c r="A26" s="78" t="s">
        <v>150</v>
      </c>
      <c r="B26" s="79"/>
      <c r="C26" s="79"/>
      <c r="D26" s="79"/>
      <c r="E26" s="79"/>
      <c r="F26" s="79"/>
      <c r="G26" s="79"/>
      <c r="H26" s="48">
        <f>COUNTIF($A$1:H24, "ITEM")</f>
        <v>5</v>
      </c>
    </row>
    <row r="27" spans="1:8" ht="10" customHeight="1" x14ac:dyDescent="0.2">
      <c r="A27" s="80"/>
      <c r="B27" s="80"/>
      <c r="C27" s="80"/>
      <c r="D27" s="80"/>
      <c r="E27" s="80"/>
      <c r="F27" s="80"/>
      <c r="G27" s="80"/>
      <c r="H27" s="80"/>
    </row>
    <row r="28" spans="1:8" s="22" customFormat="1" ht="20" customHeight="1" x14ac:dyDescent="0.2">
      <c r="A28" s="55" t="s">
        <v>5</v>
      </c>
      <c r="B28" s="55" t="s">
        <v>6</v>
      </c>
      <c r="C28" s="55" t="s">
        <v>7</v>
      </c>
      <c r="D28" s="55" t="s">
        <v>12</v>
      </c>
      <c r="E28" s="55" t="s">
        <v>11</v>
      </c>
      <c r="F28" s="55" t="s">
        <v>8</v>
      </c>
      <c r="G28" s="55" t="s">
        <v>9</v>
      </c>
      <c r="H28" s="55" t="s">
        <v>10</v>
      </c>
    </row>
    <row r="29" spans="1:8" s="22" customFormat="1" x14ac:dyDescent="0.2">
      <c r="A29" s="39">
        <v>3900</v>
      </c>
      <c r="B29" s="39" t="str">
        <f>VLOOKUP(A29,'PUNTOS DE VENTA'!A$2:B$75,2)</f>
        <v>Maxi el Cruce</v>
      </c>
      <c r="C29" s="39">
        <v>2645516</v>
      </c>
      <c r="D29" s="23" t="str">
        <f>VLOOKUP(C29,CATALOGO!$A$8:$C$36,3)</f>
        <v>almohada y funda bebe colores surtidos docoma</v>
      </c>
      <c r="E29" s="24">
        <f>VLOOKUP(C29,CATALOGO!$A$8:$C$36,2)</f>
        <v>7441119600652</v>
      </c>
      <c r="F29" s="24">
        <v>3</v>
      </c>
      <c r="G29" s="39">
        <v>1</v>
      </c>
      <c r="H29" s="39">
        <f>G29</f>
        <v>1</v>
      </c>
    </row>
    <row r="30" spans="1:8" s="22" customFormat="1" x14ac:dyDescent="0.2">
      <c r="A30" s="39">
        <v>3900</v>
      </c>
      <c r="B30" s="39" t="str">
        <f>VLOOKUP(A30,'PUNTOS DE VENTA'!A$2:B$75,2)</f>
        <v>Maxi el Cruce</v>
      </c>
      <c r="C30" s="39">
        <v>2647973</v>
      </c>
      <c r="D30" s="23" t="str">
        <f>VLOOKUP(C30,CATALOGO!$A$8:$C$36,3)</f>
        <v>almohada bebe sencilla estampada</v>
      </c>
      <c r="E30" s="24">
        <f>VLOOKUP(C30,CATALOGO!$A$8:$C$36,2)</f>
        <v>7441119600768</v>
      </c>
      <c r="F30" s="24">
        <v>3</v>
      </c>
      <c r="G30" s="39">
        <v>1</v>
      </c>
      <c r="H30" s="39">
        <f>G30</f>
        <v>1</v>
      </c>
    </row>
    <row r="31" spans="1:8" s="22" customFormat="1" x14ac:dyDescent="0.2">
      <c r="A31" s="78" t="s">
        <v>150</v>
      </c>
      <c r="B31" s="79"/>
      <c r="C31" s="79"/>
      <c r="D31" s="79"/>
      <c r="E31" s="79"/>
      <c r="F31" s="79"/>
      <c r="G31" s="79"/>
      <c r="H31" s="48">
        <f>COUNTIF($A$1:H28, "ITEM")</f>
        <v>6</v>
      </c>
    </row>
    <row r="32" spans="1:8" ht="10" customHeight="1" x14ac:dyDescent="0.2">
      <c r="A32" s="80"/>
      <c r="B32" s="80"/>
      <c r="C32" s="80"/>
      <c r="D32" s="80"/>
      <c r="E32" s="80"/>
      <c r="F32" s="80"/>
      <c r="G32" s="80"/>
      <c r="H32" s="80"/>
    </row>
    <row r="33" spans="1:8" s="22" customFormat="1" ht="20" customHeight="1" x14ac:dyDescent="0.2">
      <c r="A33" s="55" t="s">
        <v>5</v>
      </c>
      <c r="B33" s="55" t="s">
        <v>6</v>
      </c>
      <c r="C33" s="55" t="s">
        <v>7</v>
      </c>
      <c r="D33" s="55" t="s">
        <v>12</v>
      </c>
      <c r="E33" s="55" t="s">
        <v>11</v>
      </c>
      <c r="F33" s="55" t="s">
        <v>8</v>
      </c>
      <c r="G33" s="55" t="s">
        <v>9</v>
      </c>
      <c r="H33" s="55" t="s">
        <v>10</v>
      </c>
    </row>
    <row r="34" spans="1:8" s="22" customFormat="1" x14ac:dyDescent="0.2">
      <c r="A34" s="39">
        <v>3901</v>
      </c>
      <c r="B34" s="39" t="str">
        <f>VLOOKUP(A34,'PUNTOS DE VENTA'!A$2:B$75,2)</f>
        <v>Maxi Alajuela</v>
      </c>
      <c r="C34" s="39">
        <v>2647973</v>
      </c>
      <c r="D34" s="23" t="str">
        <f>VLOOKUP(C34,CATALOGO!$A$8:$C$36,3)</f>
        <v>almohada bebe sencilla estampada</v>
      </c>
      <c r="E34" s="24">
        <f>VLOOKUP(C34,CATALOGO!$A$8:$C$36,2)</f>
        <v>7441119600768</v>
      </c>
      <c r="F34" s="24">
        <v>3</v>
      </c>
      <c r="G34" s="39">
        <v>1</v>
      </c>
      <c r="H34" s="39">
        <f>G34</f>
        <v>1</v>
      </c>
    </row>
    <row r="35" spans="1:8" s="22" customFormat="1" x14ac:dyDescent="0.2">
      <c r="A35" s="78" t="s">
        <v>150</v>
      </c>
      <c r="B35" s="79"/>
      <c r="C35" s="79"/>
      <c r="D35" s="79"/>
      <c r="E35" s="79"/>
      <c r="F35" s="79"/>
      <c r="G35" s="79"/>
      <c r="H35" s="48">
        <f>COUNTIF($A$1:H33, "ITEM")</f>
        <v>7</v>
      </c>
    </row>
    <row r="36" spans="1:8" ht="10" customHeight="1" x14ac:dyDescent="0.2">
      <c r="A36" s="80"/>
      <c r="B36" s="80"/>
      <c r="C36" s="80"/>
      <c r="D36" s="80"/>
      <c r="E36" s="80"/>
      <c r="F36" s="80"/>
      <c r="G36" s="80"/>
      <c r="H36" s="80"/>
    </row>
    <row r="37" spans="1:8" s="22" customFormat="1" ht="20" customHeight="1" x14ac:dyDescent="0.2">
      <c r="A37" s="55" t="s">
        <v>5</v>
      </c>
      <c r="B37" s="55" t="s">
        <v>6</v>
      </c>
      <c r="C37" s="55" t="s">
        <v>7</v>
      </c>
      <c r="D37" s="55" t="s">
        <v>12</v>
      </c>
      <c r="E37" s="55" t="s">
        <v>11</v>
      </c>
      <c r="F37" s="55" t="s">
        <v>8</v>
      </c>
      <c r="G37" s="55" t="s">
        <v>9</v>
      </c>
      <c r="H37" s="55" t="s">
        <v>10</v>
      </c>
    </row>
    <row r="38" spans="1:8" s="22" customFormat="1" x14ac:dyDescent="0.2">
      <c r="A38" s="39">
        <v>3904</v>
      </c>
      <c r="B38" s="39" t="str">
        <f>VLOOKUP(A38,'PUNTOS DE VENTA'!A$2:B$75,2)</f>
        <v>Maxi Limon</v>
      </c>
      <c r="C38" s="39">
        <v>2647973</v>
      </c>
      <c r="D38" s="23" t="str">
        <f>VLOOKUP(C38,CATALOGO!$A$8:$C$36,3)</f>
        <v>almohada bebe sencilla estampada</v>
      </c>
      <c r="E38" s="24">
        <f>VLOOKUP(C38,CATALOGO!$A$8:$C$36,2)</f>
        <v>7441119600768</v>
      </c>
      <c r="F38" s="24">
        <v>3</v>
      </c>
      <c r="G38" s="39">
        <v>1</v>
      </c>
      <c r="H38" s="39">
        <f>G38</f>
        <v>1</v>
      </c>
    </row>
    <row r="39" spans="1:8" s="22" customFormat="1" x14ac:dyDescent="0.2">
      <c r="A39" s="78" t="s">
        <v>150</v>
      </c>
      <c r="B39" s="79"/>
      <c r="C39" s="79"/>
      <c r="D39" s="79"/>
      <c r="E39" s="79"/>
      <c r="F39" s="79"/>
      <c r="G39" s="79"/>
      <c r="H39" s="48">
        <f>COUNTIF($A$1:H37, "ITEM")</f>
        <v>8</v>
      </c>
    </row>
    <row r="40" spans="1:8" ht="10" customHeight="1" x14ac:dyDescent="0.2">
      <c r="A40" s="80"/>
      <c r="B40" s="80"/>
      <c r="C40" s="80"/>
      <c r="D40" s="80"/>
      <c r="E40" s="80"/>
      <c r="F40" s="80"/>
      <c r="G40" s="80"/>
      <c r="H40" s="80"/>
    </row>
    <row r="41" spans="1:8" s="22" customFormat="1" ht="20" customHeight="1" x14ac:dyDescent="0.2">
      <c r="A41" s="55" t="s">
        <v>5</v>
      </c>
      <c r="B41" s="55" t="s">
        <v>6</v>
      </c>
      <c r="C41" s="55" t="s">
        <v>7</v>
      </c>
      <c r="D41" s="55" t="s">
        <v>12</v>
      </c>
      <c r="E41" s="55" t="s">
        <v>11</v>
      </c>
      <c r="F41" s="55" t="s">
        <v>8</v>
      </c>
      <c r="G41" s="55" t="s">
        <v>9</v>
      </c>
      <c r="H41" s="55" t="s">
        <v>10</v>
      </c>
    </row>
    <row r="42" spans="1:8" s="22" customFormat="1" x14ac:dyDescent="0.2">
      <c r="A42" s="39">
        <v>3905</v>
      </c>
      <c r="B42" s="39" t="str">
        <f>VLOOKUP(A42,'PUNTOS DE VENTA'!A$2:B$75,2)</f>
        <v>Maxi Liberia</v>
      </c>
      <c r="C42" s="39">
        <v>2645516</v>
      </c>
      <c r="D42" s="23" t="str">
        <f>VLOOKUP(C42,CATALOGO!$A$8:$C$36,3)</f>
        <v>almohada y funda bebe colores surtidos docoma</v>
      </c>
      <c r="E42" s="24">
        <f>VLOOKUP(C42,CATALOGO!$A$8:$C$36,2)</f>
        <v>7441119600652</v>
      </c>
      <c r="F42" s="24">
        <v>3</v>
      </c>
      <c r="G42" s="39">
        <v>2</v>
      </c>
      <c r="H42" s="39">
        <v>1</v>
      </c>
    </row>
    <row r="43" spans="1:8" s="22" customFormat="1" x14ac:dyDescent="0.2">
      <c r="A43" s="39">
        <v>3905</v>
      </c>
      <c r="B43" s="39" t="str">
        <f>VLOOKUP(A43,'PUNTOS DE VENTA'!A$2:B$75,2)</f>
        <v>Maxi Liberia</v>
      </c>
      <c r="C43" s="39">
        <v>2647973</v>
      </c>
      <c r="D43" s="23" t="str">
        <f>VLOOKUP(C43,CATALOGO!$A$8:$C$36,3)</f>
        <v>almohada bebe sencilla estampada</v>
      </c>
      <c r="E43" s="24">
        <f>VLOOKUP(C43,CATALOGO!$A$8:$C$36,2)</f>
        <v>7441119600768</v>
      </c>
      <c r="F43" s="24">
        <v>3</v>
      </c>
      <c r="G43" s="39">
        <v>7</v>
      </c>
      <c r="H43" s="39">
        <f>G43</f>
        <v>7</v>
      </c>
    </row>
    <row r="44" spans="1:8" s="22" customFormat="1" x14ac:dyDescent="0.2">
      <c r="A44" s="78" t="s">
        <v>150</v>
      </c>
      <c r="B44" s="79"/>
      <c r="C44" s="79"/>
      <c r="D44" s="79"/>
      <c r="E44" s="79"/>
      <c r="F44" s="79"/>
      <c r="G44" s="79"/>
      <c r="H44" s="48">
        <f>COUNTIF($A$1:H41, "ITEM")</f>
        <v>9</v>
      </c>
    </row>
    <row r="45" spans="1:8" ht="10" customHeight="1" x14ac:dyDescent="0.2">
      <c r="A45" s="80"/>
      <c r="B45" s="80"/>
      <c r="C45" s="80"/>
      <c r="D45" s="80"/>
      <c r="E45" s="80"/>
      <c r="F45" s="80"/>
      <c r="G45" s="80"/>
      <c r="H45" s="80"/>
    </row>
    <row r="46" spans="1:8" s="22" customFormat="1" ht="20" customHeight="1" x14ac:dyDescent="0.2">
      <c r="A46" s="55" t="s">
        <v>5</v>
      </c>
      <c r="B46" s="55" t="s">
        <v>6</v>
      </c>
      <c r="C46" s="55" t="s">
        <v>7</v>
      </c>
      <c r="D46" s="55" t="s">
        <v>12</v>
      </c>
      <c r="E46" s="55" t="s">
        <v>11</v>
      </c>
      <c r="F46" s="55" t="s">
        <v>8</v>
      </c>
      <c r="G46" s="55" t="s">
        <v>9</v>
      </c>
      <c r="H46" s="55" t="s">
        <v>10</v>
      </c>
    </row>
    <row r="47" spans="1:8" s="22" customFormat="1" x14ac:dyDescent="0.2">
      <c r="A47" s="39">
        <v>4006</v>
      </c>
      <c r="B47" s="39" t="str">
        <f>VLOOKUP(A47,'PUNTOS DE VENTA'!A$2:B$75,2)</f>
        <v>Walmart Cartago</v>
      </c>
      <c r="C47" s="39">
        <v>2645516</v>
      </c>
      <c r="D47" s="39" t="str">
        <f>VLOOKUP(C47,CATALOGO!$A$8:$C$36,3)</f>
        <v>almohada y funda bebe colores surtidos docoma</v>
      </c>
      <c r="E47" s="24">
        <f>VLOOKUP(C47,CATALOGO!$A$8:$C$36,2)</f>
        <v>7441119600652</v>
      </c>
      <c r="F47" s="24">
        <v>3</v>
      </c>
      <c r="G47" s="39">
        <v>1</v>
      </c>
      <c r="H47" s="39">
        <f>G47</f>
        <v>1</v>
      </c>
    </row>
    <row r="48" spans="1:8" s="22" customFormat="1" x14ac:dyDescent="0.2">
      <c r="A48" s="78" t="s">
        <v>150</v>
      </c>
      <c r="B48" s="79"/>
      <c r="C48" s="79"/>
      <c r="D48" s="79"/>
      <c r="E48" s="79"/>
      <c r="F48" s="79"/>
      <c r="G48" s="79"/>
      <c r="H48" s="48">
        <f>COUNTIF($A$1:H46, "ITEM")</f>
        <v>10</v>
      </c>
    </row>
    <row r="49" spans="1:8" ht="10" customHeight="1" x14ac:dyDescent="0.2">
      <c r="A49" s="80"/>
      <c r="B49" s="80"/>
      <c r="C49" s="80"/>
      <c r="D49" s="80"/>
      <c r="E49" s="80"/>
      <c r="F49" s="80"/>
      <c r="G49" s="80"/>
      <c r="H49" s="80"/>
    </row>
    <row r="50" spans="1:8" s="22" customFormat="1" ht="20" customHeight="1" x14ac:dyDescent="0.2">
      <c r="A50" s="55" t="s">
        <v>5</v>
      </c>
      <c r="B50" s="55" t="s">
        <v>6</v>
      </c>
      <c r="C50" s="55" t="s">
        <v>7</v>
      </c>
      <c r="D50" s="55" t="s">
        <v>12</v>
      </c>
      <c r="E50" s="55" t="s">
        <v>11</v>
      </c>
      <c r="F50" s="55" t="s">
        <v>8</v>
      </c>
      <c r="G50" s="55" t="s">
        <v>9</v>
      </c>
      <c r="H50" s="55" t="s">
        <v>10</v>
      </c>
    </row>
    <row r="51" spans="1:8" s="22" customFormat="1" x14ac:dyDescent="0.2">
      <c r="A51" s="39">
        <v>4031</v>
      </c>
      <c r="B51" s="39" t="str">
        <f>VLOOKUP(A51,'PUNTOS DE VENTA'!A$2:B$75,2)</f>
        <v>Maxi San Ramon</v>
      </c>
      <c r="C51" s="39">
        <v>2647973</v>
      </c>
      <c r="D51" s="23" t="str">
        <f>VLOOKUP(C51,CATALOGO!$A$8:$C$36,3)</f>
        <v>almohada bebe sencilla estampada</v>
      </c>
      <c r="E51" s="24">
        <f>VLOOKUP(C51,CATALOGO!$A$8:$C$36,2)</f>
        <v>7441119600768</v>
      </c>
      <c r="F51" s="24">
        <v>3</v>
      </c>
      <c r="G51" s="39">
        <v>1</v>
      </c>
      <c r="H51" s="39">
        <f>G51</f>
        <v>1</v>
      </c>
    </row>
    <row r="52" spans="1:8" s="22" customFormat="1" x14ac:dyDescent="0.2">
      <c r="A52" s="78" t="s">
        <v>150</v>
      </c>
      <c r="B52" s="79"/>
      <c r="C52" s="79"/>
      <c r="D52" s="79"/>
      <c r="E52" s="79"/>
      <c r="F52" s="79"/>
      <c r="G52" s="79"/>
      <c r="H52" s="48">
        <f>COUNTIF($A$1:H50, "ITEM")</f>
        <v>11</v>
      </c>
    </row>
    <row r="53" spans="1:8" ht="10" customHeight="1" x14ac:dyDescent="0.2">
      <c r="A53" s="80"/>
      <c r="B53" s="80"/>
      <c r="C53" s="80"/>
      <c r="D53" s="80"/>
      <c r="E53" s="80"/>
      <c r="F53" s="80"/>
      <c r="G53" s="80"/>
      <c r="H53" s="80"/>
    </row>
    <row r="54" spans="1:8" s="22" customFormat="1" ht="20" customHeight="1" x14ac:dyDescent="0.2">
      <c r="A54" s="55" t="s">
        <v>5</v>
      </c>
      <c r="B54" s="55" t="s">
        <v>6</v>
      </c>
      <c r="C54" s="55" t="s">
        <v>7</v>
      </c>
      <c r="D54" s="55" t="s">
        <v>12</v>
      </c>
      <c r="E54" s="55" t="s">
        <v>11</v>
      </c>
      <c r="F54" s="55" t="s">
        <v>8</v>
      </c>
      <c r="G54" s="55" t="s">
        <v>9</v>
      </c>
      <c r="H54" s="55" t="s">
        <v>10</v>
      </c>
    </row>
    <row r="55" spans="1:8" s="22" customFormat="1" x14ac:dyDescent="0.2">
      <c r="A55" s="39">
        <v>4075</v>
      </c>
      <c r="B55" s="39" t="str">
        <f>VLOOKUP(A55,'PUNTOS DE VENTA'!A$2:B$75,2)</f>
        <v>Maxi Puntarenas</v>
      </c>
      <c r="C55" s="39">
        <v>2645516</v>
      </c>
      <c r="D55" s="39" t="str">
        <f>VLOOKUP(C55,CATALOGO!$A$8:$C$36,3)</f>
        <v>almohada y funda bebe colores surtidos docoma</v>
      </c>
      <c r="E55" s="24">
        <f>VLOOKUP(C55,CATALOGO!$A$8:$C$36,2)</f>
        <v>7441119600652</v>
      </c>
      <c r="F55" s="24">
        <v>3</v>
      </c>
      <c r="G55" s="39">
        <v>1</v>
      </c>
      <c r="H55" s="39">
        <f>G55</f>
        <v>1</v>
      </c>
    </row>
    <row r="56" spans="1:8" s="22" customFormat="1" x14ac:dyDescent="0.2">
      <c r="A56" s="78" t="s">
        <v>150</v>
      </c>
      <c r="B56" s="79"/>
      <c r="C56" s="79"/>
      <c r="D56" s="79"/>
      <c r="E56" s="79"/>
      <c r="F56" s="79"/>
      <c r="G56" s="79"/>
      <c r="H56" s="48">
        <f>COUNTIF($A$1:H54, "ITEM")</f>
        <v>12</v>
      </c>
    </row>
    <row r="57" spans="1:8" ht="10" customHeight="1" x14ac:dyDescent="0.2">
      <c r="A57" s="80"/>
      <c r="B57" s="80"/>
      <c r="C57" s="80"/>
      <c r="D57" s="80"/>
      <c r="E57" s="80"/>
      <c r="F57" s="80"/>
      <c r="G57" s="80"/>
      <c r="H57" s="80"/>
    </row>
    <row r="58" spans="1:8" s="22" customFormat="1" ht="20" customHeight="1" x14ac:dyDescent="0.2">
      <c r="A58" s="55" t="s">
        <v>5</v>
      </c>
      <c r="B58" s="55" t="s">
        <v>6</v>
      </c>
      <c r="C58" s="55" t="s">
        <v>7</v>
      </c>
      <c r="D58" s="55" t="s">
        <v>12</v>
      </c>
      <c r="E58" s="55" t="s">
        <v>11</v>
      </c>
      <c r="F58" s="55" t="s">
        <v>8</v>
      </c>
      <c r="G58" s="55" t="s">
        <v>9</v>
      </c>
      <c r="H58" s="55" t="s">
        <v>10</v>
      </c>
    </row>
    <row r="59" spans="1:8" s="22" customFormat="1" x14ac:dyDescent="0.2">
      <c r="A59" s="39">
        <v>4099</v>
      </c>
      <c r="B59" s="39" t="str">
        <f>VLOOKUP(A59,'PUNTOS DE VENTA'!A$2:B$75,2)</f>
        <v>Maxi Turrialba</v>
      </c>
      <c r="C59" s="39">
        <v>2647973</v>
      </c>
      <c r="D59" s="23" t="str">
        <f>VLOOKUP(C59,CATALOGO!$A$8:$C$36,3)</f>
        <v>almohada bebe sencilla estampada</v>
      </c>
      <c r="E59" s="24">
        <f>VLOOKUP(C59,CATALOGO!$A$8:$C$36,2)</f>
        <v>7441119600768</v>
      </c>
      <c r="F59" s="24">
        <v>3</v>
      </c>
      <c r="G59" s="39">
        <v>2</v>
      </c>
      <c r="H59" s="39">
        <v>2</v>
      </c>
    </row>
    <row r="60" spans="1:8" s="22" customFormat="1" x14ac:dyDescent="0.2">
      <c r="A60" s="78" t="s">
        <v>150</v>
      </c>
      <c r="B60" s="79"/>
      <c r="C60" s="79"/>
      <c r="D60" s="79"/>
      <c r="E60" s="79"/>
      <c r="F60" s="79"/>
      <c r="G60" s="79"/>
      <c r="H60" s="48">
        <f>COUNTIF($A$1:H58, "ITEM")</f>
        <v>13</v>
      </c>
    </row>
    <row r="61" spans="1:8" ht="10" customHeight="1" x14ac:dyDescent="0.2">
      <c r="A61" s="80"/>
      <c r="B61" s="80"/>
      <c r="C61" s="80"/>
      <c r="D61" s="80"/>
      <c r="E61" s="80"/>
      <c r="F61" s="80"/>
      <c r="G61" s="80"/>
      <c r="H61" s="80"/>
    </row>
    <row r="62" spans="1:8" s="22" customFormat="1" ht="20" customHeight="1" x14ac:dyDescent="0.2">
      <c r="A62" s="55" t="s">
        <v>5</v>
      </c>
      <c r="B62" s="55" t="s">
        <v>6</v>
      </c>
      <c r="C62" s="55" t="s">
        <v>7</v>
      </c>
      <c r="D62" s="55" t="s">
        <v>12</v>
      </c>
      <c r="E62" s="55" t="s">
        <v>11</v>
      </c>
      <c r="F62" s="55" t="s">
        <v>8</v>
      </c>
      <c r="G62" s="55" t="s">
        <v>9</v>
      </c>
      <c r="H62" s="55" t="s">
        <v>10</v>
      </c>
    </row>
    <row r="63" spans="1:8" s="22" customFormat="1" x14ac:dyDescent="0.2">
      <c r="A63" s="39">
        <v>4109</v>
      </c>
      <c r="B63" s="39" t="str">
        <f>VLOOKUP(A63,'PUNTOS DE VENTA'!A$2:B$75,2)</f>
        <v>Maxi Nicoya</v>
      </c>
      <c r="C63" s="39">
        <v>2645516</v>
      </c>
      <c r="D63" s="23" t="str">
        <f>VLOOKUP(C63,CATALOGO!$A$8:$C$36,3)</f>
        <v>almohada y funda bebe colores surtidos docoma</v>
      </c>
      <c r="E63" s="24">
        <f>VLOOKUP(C63,CATALOGO!$A$8:$C$36,2)</f>
        <v>7441119600652</v>
      </c>
      <c r="F63" s="24">
        <v>3</v>
      </c>
      <c r="G63" s="39">
        <v>1</v>
      </c>
      <c r="H63" s="39">
        <f>G63</f>
        <v>1</v>
      </c>
    </row>
    <row r="64" spans="1:8" s="22" customFormat="1" x14ac:dyDescent="0.2">
      <c r="A64" s="39">
        <v>4109</v>
      </c>
      <c r="B64" s="39" t="str">
        <f>VLOOKUP(A64,'PUNTOS DE VENTA'!A$2:B$75,2)</f>
        <v>Maxi Nicoya</v>
      </c>
      <c r="C64" s="39">
        <v>2647973</v>
      </c>
      <c r="D64" s="23" t="str">
        <f>VLOOKUP(C64,CATALOGO!$A$8:$C$36,3)</f>
        <v>almohada bebe sencilla estampada</v>
      </c>
      <c r="E64" s="24">
        <f>VLOOKUP(C64,CATALOGO!$A$8:$C$36,2)</f>
        <v>7441119600768</v>
      </c>
      <c r="F64" s="24">
        <v>3</v>
      </c>
      <c r="G64" s="39">
        <v>3</v>
      </c>
      <c r="H64" s="39">
        <f>G64</f>
        <v>3</v>
      </c>
    </row>
    <row r="65" spans="1:8" s="22" customFormat="1" x14ac:dyDescent="0.2">
      <c r="A65" s="78" t="s">
        <v>150</v>
      </c>
      <c r="B65" s="79"/>
      <c r="C65" s="79"/>
      <c r="D65" s="79"/>
      <c r="E65" s="79"/>
      <c r="F65" s="79"/>
      <c r="G65" s="79"/>
      <c r="H65" s="48">
        <f>COUNTIF($A$1:H62, "ITEM")</f>
        <v>14</v>
      </c>
    </row>
    <row r="66" spans="1:8" ht="10" customHeight="1" x14ac:dyDescent="0.2">
      <c r="A66" s="80"/>
      <c r="B66" s="80"/>
      <c r="C66" s="80"/>
      <c r="D66" s="80"/>
      <c r="E66" s="80"/>
      <c r="F66" s="80"/>
      <c r="G66" s="80"/>
      <c r="H66" s="80"/>
    </row>
    <row r="67" spans="1:8" s="22" customFormat="1" ht="20" customHeight="1" x14ac:dyDescent="0.2">
      <c r="A67" s="55" t="s">
        <v>5</v>
      </c>
      <c r="B67" s="55" t="s">
        <v>6</v>
      </c>
      <c r="C67" s="55" t="s">
        <v>7</v>
      </c>
      <c r="D67" s="55" t="s">
        <v>12</v>
      </c>
      <c r="E67" s="55" t="s">
        <v>11</v>
      </c>
      <c r="F67" s="55" t="s">
        <v>8</v>
      </c>
      <c r="G67" s="55" t="s">
        <v>9</v>
      </c>
      <c r="H67" s="55" t="s">
        <v>10</v>
      </c>
    </row>
    <row r="68" spans="1:8" s="22" customFormat="1" x14ac:dyDescent="0.2">
      <c r="A68" s="39">
        <v>4214</v>
      </c>
      <c r="B68" s="39" t="str">
        <f>VLOOKUP(A68,'PUNTOS DE VENTA'!A$2:B$75,2)</f>
        <v>Maxi Paraiso</v>
      </c>
      <c r="C68" s="39">
        <v>2647973</v>
      </c>
      <c r="D68" s="23" t="str">
        <f>VLOOKUP(C68,CATALOGO!$A$8:$C$36,3)</f>
        <v>almohada bebe sencilla estampada</v>
      </c>
      <c r="E68" s="24">
        <f>VLOOKUP(C68,CATALOGO!$A$8:$C$36,2)</f>
        <v>7441119600768</v>
      </c>
      <c r="F68" s="24">
        <v>3</v>
      </c>
      <c r="G68" s="39">
        <v>1</v>
      </c>
      <c r="H68" s="39">
        <f>G68</f>
        <v>1</v>
      </c>
    </row>
    <row r="69" spans="1:8" s="22" customFormat="1" x14ac:dyDescent="0.2">
      <c r="A69" s="78" t="s">
        <v>150</v>
      </c>
      <c r="B69" s="79"/>
      <c r="C69" s="79"/>
      <c r="D69" s="79"/>
      <c r="E69" s="79"/>
      <c r="F69" s="79"/>
      <c r="G69" s="79"/>
      <c r="H69" s="48">
        <f>COUNTIF($A$1:H67, "ITEM")</f>
        <v>15</v>
      </c>
    </row>
    <row r="70" spans="1:8" ht="10" customHeight="1" x14ac:dyDescent="0.2">
      <c r="A70" s="80"/>
      <c r="B70" s="80"/>
      <c r="C70" s="80"/>
      <c r="D70" s="80"/>
      <c r="E70" s="80"/>
      <c r="F70" s="80"/>
      <c r="G70" s="80"/>
      <c r="H70" s="80"/>
    </row>
    <row r="71" spans="1:8" s="22" customFormat="1" ht="20" customHeight="1" x14ac:dyDescent="0.2">
      <c r="A71" s="55" t="s">
        <v>5</v>
      </c>
      <c r="B71" s="55" t="s">
        <v>6</v>
      </c>
      <c r="C71" s="55" t="s">
        <v>7</v>
      </c>
      <c r="D71" s="55" t="s">
        <v>12</v>
      </c>
      <c r="E71" s="55" t="s">
        <v>11</v>
      </c>
      <c r="F71" s="55" t="s">
        <v>8</v>
      </c>
      <c r="G71" s="55" t="s">
        <v>9</v>
      </c>
      <c r="H71" s="55" t="s">
        <v>10</v>
      </c>
    </row>
    <row r="72" spans="1:8" s="22" customFormat="1" x14ac:dyDescent="0.2">
      <c r="A72" s="39">
        <v>4215</v>
      </c>
      <c r="B72" s="39" t="str">
        <f>VLOOKUP(A72,'PUNTOS DE VENTA'!A$2:B$75,2)</f>
        <v>Maxi Quepos</v>
      </c>
      <c r="C72" s="39">
        <v>2647973</v>
      </c>
      <c r="D72" s="23" t="str">
        <f>VLOOKUP(C72,CATALOGO!$A$8:$C$36,3)</f>
        <v>almohada bebe sencilla estampada</v>
      </c>
      <c r="E72" s="24">
        <f>VLOOKUP(C72,CATALOGO!$A$8:$C$36,2)</f>
        <v>7441119600768</v>
      </c>
      <c r="F72" s="24">
        <v>3</v>
      </c>
      <c r="G72" s="39">
        <v>1</v>
      </c>
      <c r="H72" s="39">
        <f>G72</f>
        <v>1</v>
      </c>
    </row>
    <row r="73" spans="1:8" s="22" customFormat="1" x14ac:dyDescent="0.2">
      <c r="A73" s="78" t="s">
        <v>150</v>
      </c>
      <c r="B73" s="79"/>
      <c r="C73" s="79"/>
      <c r="D73" s="79"/>
      <c r="E73" s="79"/>
      <c r="F73" s="79"/>
      <c r="G73" s="79"/>
      <c r="H73" s="48">
        <f>COUNTIF($A$1:H71, "ITEM")</f>
        <v>16</v>
      </c>
    </row>
    <row r="74" spans="1:8" ht="21" customHeight="1" x14ac:dyDescent="0.2">
      <c r="A74" s="80"/>
      <c r="B74" s="80"/>
      <c r="C74" s="80"/>
      <c r="D74" s="80"/>
      <c r="E74" s="80"/>
      <c r="F74" s="80"/>
      <c r="G74" s="80"/>
      <c r="H74" s="80"/>
    </row>
    <row r="75" spans="1:8" s="22" customFormat="1" ht="20" customHeight="1" x14ac:dyDescent="0.2">
      <c r="A75" s="55" t="s">
        <v>5</v>
      </c>
      <c r="B75" s="55" t="s">
        <v>6</v>
      </c>
      <c r="C75" s="55" t="s">
        <v>7</v>
      </c>
      <c r="D75" s="55" t="s">
        <v>12</v>
      </c>
      <c r="E75" s="55" t="s">
        <v>11</v>
      </c>
      <c r="F75" s="55" t="s">
        <v>8</v>
      </c>
      <c r="G75" s="55" t="s">
        <v>9</v>
      </c>
      <c r="H75" s="55" t="s">
        <v>10</v>
      </c>
    </row>
    <row r="76" spans="1:8" s="22" customFormat="1" x14ac:dyDescent="0.2">
      <c r="A76" s="39">
        <v>4318</v>
      </c>
      <c r="B76" s="39" t="str">
        <f>VLOOKUP(A76,'PUNTOS DE VENTA'!A$2:B$75,2)</f>
        <v>Maxi Mercedes Norte</v>
      </c>
      <c r="C76" s="39">
        <v>2645516</v>
      </c>
      <c r="D76" s="23" t="str">
        <f>VLOOKUP(C76,CATALOGO!$A$8:$C$36,3)</f>
        <v>almohada y funda bebe colores surtidos docoma</v>
      </c>
      <c r="E76" s="24">
        <f>VLOOKUP(C76,CATALOGO!$A$8:$C$36,2)</f>
        <v>7441119600652</v>
      </c>
      <c r="F76" s="24">
        <v>3</v>
      </c>
      <c r="G76" s="39">
        <v>1</v>
      </c>
      <c r="H76" s="39">
        <f>G76</f>
        <v>1</v>
      </c>
    </row>
    <row r="77" spans="1:8" s="22" customFormat="1" x14ac:dyDescent="0.2">
      <c r="A77" s="39">
        <v>4318</v>
      </c>
      <c r="B77" s="39" t="str">
        <f>VLOOKUP(A77,'PUNTOS DE VENTA'!A$2:B$75,2)</f>
        <v>Maxi Mercedes Norte</v>
      </c>
      <c r="C77" s="39">
        <v>2647973</v>
      </c>
      <c r="D77" s="23" t="str">
        <f>VLOOKUP(C77,CATALOGO!$A$8:$C$36,3)</f>
        <v>almohada bebe sencilla estampada</v>
      </c>
      <c r="E77" s="24">
        <f>VLOOKUP(C77,CATALOGO!$A$8:$C$36,2)</f>
        <v>7441119600768</v>
      </c>
      <c r="F77" s="24">
        <v>3</v>
      </c>
      <c r="G77" s="39">
        <v>1</v>
      </c>
      <c r="H77" s="39">
        <f>G77</f>
        <v>1</v>
      </c>
    </row>
    <row r="78" spans="1:8" s="22" customFormat="1" x14ac:dyDescent="0.2">
      <c r="A78" s="78" t="s">
        <v>150</v>
      </c>
      <c r="B78" s="79"/>
      <c r="C78" s="79"/>
      <c r="D78" s="79"/>
      <c r="E78" s="79"/>
      <c r="F78" s="79"/>
      <c r="G78" s="79"/>
      <c r="H78" s="48">
        <f>COUNTIF($A$1:H75, "ITEM")</f>
        <v>17</v>
      </c>
    </row>
    <row r="79" spans="1:8" ht="10" customHeight="1" x14ac:dyDescent="0.2">
      <c r="A79" s="80"/>
      <c r="B79" s="80"/>
      <c r="C79" s="80"/>
      <c r="D79" s="80"/>
      <c r="E79" s="80"/>
      <c r="F79" s="80"/>
      <c r="G79" s="80"/>
      <c r="H79" s="80"/>
    </row>
    <row r="80" spans="1:8" s="22" customFormat="1" ht="20" customHeight="1" x14ac:dyDescent="0.2">
      <c r="A80" s="55" t="s">
        <v>5</v>
      </c>
      <c r="B80" s="55" t="s">
        <v>6</v>
      </c>
      <c r="C80" s="55" t="s">
        <v>7</v>
      </c>
      <c r="D80" s="55" t="s">
        <v>12</v>
      </c>
      <c r="E80" s="55" t="s">
        <v>11</v>
      </c>
      <c r="F80" s="55" t="s">
        <v>8</v>
      </c>
      <c r="G80" s="55" t="s">
        <v>9</v>
      </c>
      <c r="H80" s="55" t="s">
        <v>10</v>
      </c>
    </row>
    <row r="81" spans="1:8" s="22" customFormat="1" x14ac:dyDescent="0.2">
      <c r="A81" s="39">
        <v>4341</v>
      </c>
      <c r="B81" s="39" t="str">
        <f>VLOOKUP(A81,'PUNTOS DE VENTA'!A$2:B$75,2)</f>
        <v>Maxi Esparza</v>
      </c>
      <c r="C81" s="39">
        <v>2645516</v>
      </c>
      <c r="D81" s="23" t="str">
        <f>VLOOKUP(C81,CATALOGO!$A$8:$C$36,3)</f>
        <v>almohada y funda bebe colores surtidos docoma</v>
      </c>
      <c r="E81" s="24">
        <f>VLOOKUP(C81,CATALOGO!$A$8:$C$36,2)</f>
        <v>7441119600652</v>
      </c>
      <c r="F81" s="24">
        <v>3</v>
      </c>
      <c r="G81" s="39">
        <v>1</v>
      </c>
      <c r="H81" s="39">
        <f>G81</f>
        <v>1</v>
      </c>
    </row>
    <row r="82" spans="1:8" s="22" customFormat="1" x14ac:dyDescent="0.2">
      <c r="A82" s="39">
        <v>4341</v>
      </c>
      <c r="B82" s="39" t="str">
        <f>VLOOKUP(A82,'PUNTOS DE VENTA'!A$2:B$75,2)</f>
        <v>Maxi Esparza</v>
      </c>
      <c r="C82" s="39">
        <v>2647973</v>
      </c>
      <c r="D82" s="23" t="str">
        <f>VLOOKUP(C82,CATALOGO!$A$8:$C$36,3)</f>
        <v>almohada bebe sencilla estampada</v>
      </c>
      <c r="E82" s="24">
        <f>VLOOKUP(C82,CATALOGO!$A$8:$C$36,2)</f>
        <v>7441119600768</v>
      </c>
      <c r="F82" s="24">
        <v>3</v>
      </c>
      <c r="G82" s="39">
        <v>1</v>
      </c>
      <c r="H82" s="39">
        <f>G82</f>
        <v>1</v>
      </c>
    </row>
    <row r="83" spans="1:8" s="22" customFormat="1" x14ac:dyDescent="0.2">
      <c r="A83" s="78" t="s">
        <v>150</v>
      </c>
      <c r="B83" s="79"/>
      <c r="C83" s="79"/>
      <c r="D83" s="79"/>
      <c r="E83" s="79"/>
      <c r="F83" s="79"/>
      <c r="G83" s="79"/>
      <c r="H83" s="48">
        <f>COUNTIF($A$1:H80, "ITEM")</f>
        <v>18</v>
      </c>
    </row>
    <row r="84" spans="1:8" ht="10" customHeight="1" x14ac:dyDescent="0.2">
      <c r="A84" s="80"/>
      <c r="B84" s="80"/>
      <c r="C84" s="80"/>
      <c r="D84" s="80"/>
      <c r="E84" s="80"/>
      <c r="F84" s="80"/>
      <c r="G84" s="80"/>
      <c r="H84" s="80"/>
    </row>
    <row r="85" spans="1:8" s="22" customFormat="1" ht="20" customHeight="1" x14ac:dyDescent="0.2">
      <c r="A85" s="55" t="s">
        <v>5</v>
      </c>
      <c r="B85" s="55" t="s">
        <v>6</v>
      </c>
      <c r="C85" s="55" t="s">
        <v>7</v>
      </c>
      <c r="D85" s="55" t="s">
        <v>12</v>
      </c>
      <c r="E85" s="55" t="s">
        <v>11</v>
      </c>
      <c r="F85" s="55" t="s">
        <v>8</v>
      </c>
      <c r="G85" s="55" t="s">
        <v>9</v>
      </c>
      <c r="H85" s="55" t="s">
        <v>10</v>
      </c>
    </row>
    <row r="86" spans="1:8" s="22" customFormat="1" x14ac:dyDescent="0.2">
      <c r="A86" s="39">
        <v>4369</v>
      </c>
      <c r="B86" s="39" t="str">
        <f>VLOOKUP(A86,'PUNTOS DE VENTA'!A$2:B$75,2)</f>
        <v>Maxi Siquirres</v>
      </c>
      <c r="C86" s="39">
        <v>2645516</v>
      </c>
      <c r="D86" s="23" t="str">
        <f>VLOOKUP(C86,CATALOGO!$A$8:$C$36,3)</f>
        <v>almohada y funda bebe colores surtidos docoma</v>
      </c>
      <c r="E86" s="24">
        <f>VLOOKUP(C86,CATALOGO!$A$8:$C$36,2)</f>
        <v>7441119600652</v>
      </c>
      <c r="F86" s="24">
        <v>3</v>
      </c>
      <c r="G86" s="39">
        <v>1</v>
      </c>
      <c r="H86" s="39">
        <f>G86</f>
        <v>1</v>
      </c>
    </row>
    <row r="87" spans="1:8" s="22" customFormat="1" x14ac:dyDescent="0.2">
      <c r="A87" s="78" t="s">
        <v>150</v>
      </c>
      <c r="B87" s="79"/>
      <c r="C87" s="79"/>
      <c r="D87" s="79"/>
      <c r="E87" s="79"/>
      <c r="F87" s="79"/>
      <c r="G87" s="79"/>
      <c r="H87" s="48">
        <f>COUNTIF($A$1:H85, "ITEM")</f>
        <v>19</v>
      </c>
    </row>
    <row r="88" spans="1:8" ht="10" customHeight="1" x14ac:dyDescent="0.2">
      <c r="A88" s="80"/>
      <c r="B88" s="80"/>
      <c r="C88" s="80"/>
      <c r="D88" s="80"/>
      <c r="E88" s="80"/>
      <c r="F88" s="80"/>
      <c r="G88" s="80"/>
      <c r="H88" s="80"/>
    </row>
    <row r="89" spans="1:8" s="22" customFormat="1" ht="20" customHeight="1" x14ac:dyDescent="0.2">
      <c r="A89" s="55" t="s">
        <v>5</v>
      </c>
      <c r="B89" s="55" t="s">
        <v>6</v>
      </c>
      <c r="C89" s="55" t="s">
        <v>7</v>
      </c>
      <c r="D89" s="55" t="s">
        <v>12</v>
      </c>
      <c r="E89" s="55" t="s">
        <v>11</v>
      </c>
      <c r="F89" s="55" t="s">
        <v>8</v>
      </c>
      <c r="G89" s="55" t="s">
        <v>9</v>
      </c>
      <c r="H89" s="55" t="s">
        <v>10</v>
      </c>
    </row>
    <row r="90" spans="1:8" s="22" customFormat="1" x14ac:dyDescent="0.2">
      <c r="A90" s="39">
        <v>4383</v>
      </c>
      <c r="B90" s="39" t="str">
        <f>VLOOKUP(A90,'PUNTOS DE VENTA'!A$2:B$75,2)</f>
        <v>Maxi Pavas</v>
      </c>
      <c r="C90" s="39">
        <v>2645516</v>
      </c>
      <c r="D90" s="39" t="str">
        <f>VLOOKUP(C90,CATALOGO!$A$8:$C$36,3)</f>
        <v>almohada y funda bebe colores surtidos docoma</v>
      </c>
      <c r="E90" s="24">
        <f>VLOOKUP(C90,CATALOGO!$A$8:$C$36,2)</f>
        <v>7441119600652</v>
      </c>
      <c r="F90" s="24">
        <v>3</v>
      </c>
      <c r="G90" s="39">
        <v>1</v>
      </c>
      <c r="H90" s="39">
        <f>G90</f>
        <v>1</v>
      </c>
    </row>
    <row r="91" spans="1:8" s="22" customFormat="1" x14ac:dyDescent="0.2">
      <c r="A91" s="39">
        <v>4383</v>
      </c>
      <c r="B91" s="39" t="str">
        <f>VLOOKUP(A91,'PUNTOS DE VENTA'!A$2:B$75,2)</f>
        <v>Maxi Pavas</v>
      </c>
      <c r="C91" s="39">
        <v>2647973</v>
      </c>
      <c r="D91" s="39" t="str">
        <f>VLOOKUP(C91,CATALOGO!$A$8:$C$36,3)</f>
        <v>almohada bebe sencilla estampada</v>
      </c>
      <c r="E91" s="24">
        <f>VLOOKUP(C91,CATALOGO!$A$8:$C$36,2)</f>
        <v>7441119600768</v>
      </c>
      <c r="F91" s="24">
        <v>3</v>
      </c>
      <c r="G91" s="39">
        <v>1</v>
      </c>
      <c r="H91" s="39">
        <f>G91</f>
        <v>1</v>
      </c>
    </row>
    <row r="92" spans="1:8" s="22" customFormat="1" x14ac:dyDescent="0.2">
      <c r="A92" s="78" t="s">
        <v>150</v>
      </c>
      <c r="B92" s="79"/>
      <c r="C92" s="79"/>
      <c r="D92" s="79"/>
      <c r="E92" s="79"/>
      <c r="F92" s="79"/>
      <c r="G92" s="79"/>
      <c r="H92" s="48">
        <f>COUNTIF($A$1:H89, "ITEM")</f>
        <v>20</v>
      </c>
    </row>
    <row r="93" spans="1:8" ht="10" customHeight="1" x14ac:dyDescent="0.2">
      <c r="A93" s="80"/>
      <c r="B93" s="80"/>
      <c r="C93" s="80"/>
      <c r="D93" s="80"/>
      <c r="E93" s="80"/>
      <c r="F93" s="80"/>
      <c r="G93" s="80"/>
      <c r="H93" s="80"/>
    </row>
    <row r="94" spans="1:8" s="22" customFormat="1" ht="20" customHeight="1" x14ac:dyDescent="0.2">
      <c r="A94" s="55" t="s">
        <v>5</v>
      </c>
      <c r="B94" s="55" t="s">
        <v>6</v>
      </c>
      <c r="C94" s="55" t="s">
        <v>7</v>
      </c>
      <c r="D94" s="55" t="s">
        <v>12</v>
      </c>
      <c r="E94" s="55" t="s">
        <v>11</v>
      </c>
      <c r="F94" s="55" t="s">
        <v>8</v>
      </c>
      <c r="G94" s="55" t="s">
        <v>9</v>
      </c>
      <c r="H94" s="55" t="s">
        <v>10</v>
      </c>
    </row>
    <row r="95" spans="1:8" s="22" customFormat="1" x14ac:dyDescent="0.2">
      <c r="A95" s="39">
        <v>4413</v>
      </c>
      <c r="B95" s="39" t="str">
        <f>VLOOKUP(A95,'PUNTOS DE VENTA'!A$2:B$75,2)</f>
        <v>Walmart Desamparados</v>
      </c>
      <c r="C95" s="39">
        <v>2647973</v>
      </c>
      <c r="D95" s="23" t="str">
        <f>VLOOKUP(C95,CATALOGO!$A$8:$C$36,3)</f>
        <v>almohada bebe sencilla estampada</v>
      </c>
      <c r="E95" s="24">
        <f>VLOOKUP(C95,CATALOGO!$A$8:$C$36,2)</f>
        <v>7441119600768</v>
      </c>
      <c r="F95" s="24">
        <v>3</v>
      </c>
      <c r="G95" s="39">
        <v>1</v>
      </c>
      <c r="H95" s="39">
        <f>G95</f>
        <v>1</v>
      </c>
    </row>
    <row r="96" spans="1:8" s="22" customFormat="1" x14ac:dyDescent="0.2">
      <c r="A96" s="78" t="s">
        <v>150</v>
      </c>
      <c r="B96" s="79"/>
      <c r="C96" s="79"/>
      <c r="D96" s="79"/>
      <c r="E96" s="79"/>
      <c r="F96" s="79"/>
      <c r="G96" s="79"/>
      <c r="H96" s="48">
        <f>COUNTIF($A$1:H94, "ITEM")</f>
        <v>21</v>
      </c>
    </row>
    <row r="97" spans="1:8" ht="10" customHeight="1" x14ac:dyDescent="0.2">
      <c r="A97" s="80"/>
      <c r="B97" s="80"/>
      <c r="C97" s="80"/>
      <c r="D97" s="80"/>
      <c r="E97" s="80"/>
      <c r="F97" s="80"/>
      <c r="G97" s="80"/>
      <c r="H97" s="80"/>
    </row>
    <row r="98" spans="1:8" s="22" customFormat="1" ht="20" customHeight="1" x14ac:dyDescent="0.2">
      <c r="A98" s="55" t="s">
        <v>5</v>
      </c>
      <c r="B98" s="55" t="s">
        <v>6</v>
      </c>
      <c r="C98" s="55" t="s">
        <v>7</v>
      </c>
      <c r="D98" s="55" t="s">
        <v>12</v>
      </c>
      <c r="E98" s="55" t="s">
        <v>11</v>
      </c>
      <c r="F98" s="55" t="s">
        <v>8</v>
      </c>
      <c r="G98" s="55" t="s">
        <v>9</v>
      </c>
      <c r="H98" s="55" t="s">
        <v>10</v>
      </c>
    </row>
    <row r="99" spans="1:8" s="22" customFormat="1" x14ac:dyDescent="0.2">
      <c r="A99" s="39">
        <v>4417</v>
      </c>
      <c r="B99" s="39" t="str">
        <f>VLOOKUP(A99,'PUNTOS DE VENTA'!A$2:B$75,2)</f>
        <v xml:space="preserve">Maxi Aguas Zarcas </v>
      </c>
      <c r="C99" s="39">
        <v>2645516</v>
      </c>
      <c r="D99" s="39" t="str">
        <f>VLOOKUP(C99,CATALOGO!$A$8:$C$36,3)</f>
        <v>almohada y funda bebe colores surtidos docoma</v>
      </c>
      <c r="E99" s="24">
        <f>VLOOKUP(C99,CATALOGO!$A$8:$C$36,2)</f>
        <v>7441119600652</v>
      </c>
      <c r="F99" s="24">
        <v>3</v>
      </c>
      <c r="G99" s="39">
        <v>1</v>
      </c>
      <c r="H99" s="39">
        <f>G99</f>
        <v>1</v>
      </c>
    </row>
    <row r="100" spans="1:8" s="22" customFormat="1" x14ac:dyDescent="0.2">
      <c r="A100" s="39">
        <v>4417</v>
      </c>
      <c r="B100" s="39" t="str">
        <f>VLOOKUP(A100,'PUNTOS DE VENTA'!A$2:B$75,2)</f>
        <v xml:space="preserve">Maxi Aguas Zarcas </v>
      </c>
      <c r="C100" s="39">
        <v>2647973</v>
      </c>
      <c r="D100" s="39" t="str">
        <f>VLOOKUP(C100,CATALOGO!$A$8:$C$36,3)</f>
        <v>almohada bebe sencilla estampada</v>
      </c>
      <c r="E100" s="24">
        <f>VLOOKUP(C100,CATALOGO!$A$8:$C$36,2)</f>
        <v>7441119600768</v>
      </c>
      <c r="F100" s="24">
        <v>3</v>
      </c>
      <c r="G100" s="39">
        <v>1</v>
      </c>
      <c r="H100" s="39">
        <f>G100</f>
        <v>1</v>
      </c>
    </row>
    <row r="101" spans="1:8" s="22" customFormat="1" x14ac:dyDescent="0.2">
      <c r="A101" s="78" t="s">
        <v>150</v>
      </c>
      <c r="B101" s="79"/>
      <c r="C101" s="79"/>
      <c r="D101" s="79"/>
      <c r="E101" s="79"/>
      <c r="F101" s="79"/>
      <c r="G101" s="79"/>
      <c r="H101" s="48">
        <f>COUNTIF($A$1:H98, "ITEM")</f>
        <v>22</v>
      </c>
    </row>
    <row r="102" spans="1:8" ht="10" customHeight="1" x14ac:dyDescent="0.2">
      <c r="A102" s="80"/>
      <c r="B102" s="80"/>
      <c r="C102" s="80"/>
      <c r="D102" s="80"/>
      <c r="E102" s="80"/>
      <c r="F102" s="80"/>
      <c r="G102" s="80"/>
      <c r="H102" s="80"/>
    </row>
    <row r="103" spans="1:8" s="22" customFormat="1" ht="20" customHeight="1" x14ac:dyDescent="0.2">
      <c r="A103" s="55" t="s">
        <v>5</v>
      </c>
      <c r="B103" s="55" t="s">
        <v>6</v>
      </c>
      <c r="C103" s="55" t="s">
        <v>7</v>
      </c>
      <c r="D103" s="55" t="s">
        <v>12</v>
      </c>
      <c r="E103" s="55" t="s">
        <v>11</v>
      </c>
      <c r="F103" s="55" t="s">
        <v>8</v>
      </c>
      <c r="G103" s="55" t="s">
        <v>9</v>
      </c>
      <c r="H103" s="55" t="s">
        <v>10</v>
      </c>
    </row>
    <row r="104" spans="1:8" s="22" customFormat="1" x14ac:dyDescent="0.2">
      <c r="A104" s="39">
        <v>4449</v>
      </c>
      <c r="B104" s="39" t="str">
        <f>VLOOKUP(A104,'PUNTOS DE VENTA'!A$2:B$75,2)</f>
        <v>Walmart La Lima</v>
      </c>
      <c r="C104" s="39">
        <v>2647973</v>
      </c>
      <c r="D104" s="23" t="str">
        <f>VLOOKUP(C104,CATALOGO!$A$8:$C$36,3)</f>
        <v>almohada bebe sencilla estampada</v>
      </c>
      <c r="E104" s="24">
        <f>VLOOKUP(C104,CATALOGO!$A$8:$C$36,2)</f>
        <v>7441119600768</v>
      </c>
      <c r="F104" s="24">
        <v>3</v>
      </c>
      <c r="G104" s="39">
        <v>1</v>
      </c>
      <c r="H104" s="39">
        <f>G104</f>
        <v>1</v>
      </c>
    </row>
    <row r="105" spans="1:8" s="22" customFormat="1" x14ac:dyDescent="0.2">
      <c r="A105" s="78" t="s">
        <v>150</v>
      </c>
      <c r="B105" s="79"/>
      <c r="C105" s="79"/>
      <c r="D105" s="79"/>
      <c r="E105" s="79"/>
      <c r="F105" s="79"/>
      <c r="G105" s="79"/>
      <c r="H105" s="48">
        <f>COUNTIF($A$1:H103, "ITEM")</f>
        <v>23</v>
      </c>
    </row>
    <row r="106" spans="1:8" ht="10" customHeight="1" x14ac:dyDescent="0.2">
      <c r="A106" s="80"/>
      <c r="B106" s="80"/>
      <c r="C106" s="80"/>
      <c r="D106" s="80"/>
      <c r="E106" s="80"/>
      <c r="F106" s="80"/>
      <c r="G106" s="80"/>
      <c r="H106" s="80"/>
    </row>
    <row r="107" spans="1:8" s="22" customFormat="1" ht="20" customHeight="1" x14ac:dyDescent="0.2">
      <c r="A107" s="55" t="s">
        <v>5</v>
      </c>
      <c r="B107" s="55" t="s">
        <v>6</v>
      </c>
      <c r="C107" s="55" t="s">
        <v>7</v>
      </c>
      <c r="D107" s="55" t="s">
        <v>12</v>
      </c>
      <c r="E107" s="55" t="s">
        <v>11</v>
      </c>
      <c r="F107" s="55" t="s">
        <v>8</v>
      </c>
      <c r="G107" s="55" t="s">
        <v>9</v>
      </c>
      <c r="H107" s="55" t="s">
        <v>10</v>
      </c>
    </row>
    <row r="108" spans="1:8" s="22" customFormat="1" x14ac:dyDescent="0.2">
      <c r="A108" s="39">
        <v>768</v>
      </c>
      <c r="B108" s="39" t="str">
        <f>VLOOKUP(A108,'PUNTOS DE VENTA'!A$2:B$75,2)</f>
        <v>Walmart CQ San Carlos</v>
      </c>
      <c r="C108" s="39">
        <v>2645516</v>
      </c>
      <c r="D108" s="39" t="str">
        <f>VLOOKUP(C108,CATALOGO!$A$8:$C$36,3)</f>
        <v>almohada y funda bebe colores surtidos docoma</v>
      </c>
      <c r="E108" s="24">
        <f>VLOOKUP(C108,CATALOGO!$A$8:$C$36,2)</f>
        <v>7441119600652</v>
      </c>
      <c r="F108" s="24">
        <v>3</v>
      </c>
      <c r="G108" s="39">
        <v>3</v>
      </c>
      <c r="H108" s="39">
        <v>1</v>
      </c>
    </row>
    <row r="109" spans="1:8" s="22" customFormat="1" x14ac:dyDescent="0.2">
      <c r="A109" s="78" t="s">
        <v>150</v>
      </c>
      <c r="B109" s="79"/>
      <c r="C109" s="79"/>
      <c r="D109" s="79"/>
      <c r="E109" s="79"/>
      <c r="F109" s="79"/>
      <c r="G109" s="79"/>
      <c r="H109" s="48">
        <f>COUNTIF($A$1:H107, "ITEM")</f>
        <v>24</v>
      </c>
    </row>
    <row r="110" spans="1:8" ht="10" customHeight="1" x14ac:dyDescent="0.2">
      <c r="A110" s="80"/>
      <c r="B110" s="80"/>
      <c r="C110" s="80"/>
      <c r="D110" s="80"/>
      <c r="E110" s="80"/>
      <c r="F110" s="80"/>
      <c r="G110" s="80"/>
      <c r="H110" s="80"/>
    </row>
    <row r="111" spans="1:8" s="22" customFormat="1" ht="20" customHeight="1" x14ac:dyDescent="0.2">
      <c r="A111" s="55" t="s">
        <v>5</v>
      </c>
      <c r="B111" s="55" t="s">
        <v>6</v>
      </c>
      <c r="C111" s="55" t="s">
        <v>7</v>
      </c>
      <c r="D111" s="55" t="s">
        <v>12</v>
      </c>
      <c r="E111" s="55" t="s">
        <v>11</v>
      </c>
      <c r="F111" s="55" t="s">
        <v>8</v>
      </c>
      <c r="G111" s="55" t="s">
        <v>9</v>
      </c>
      <c r="H111" s="55" t="s">
        <v>10</v>
      </c>
    </row>
    <row r="112" spans="1:8" s="22" customFormat="1" x14ac:dyDescent="0.2">
      <c r="A112" s="39">
        <v>778</v>
      </c>
      <c r="B112" s="39" t="str">
        <f>VLOOKUP(A112,'PUNTOS DE VENTA'!A$2:B$75,2)</f>
        <v>Maxi Montecillos</v>
      </c>
      <c r="C112" s="39">
        <v>2647973</v>
      </c>
      <c r="D112" s="23" t="str">
        <f>VLOOKUP(C112,CATALOGO!$A$8:$C$36,3)</f>
        <v>almohada bebe sencilla estampada</v>
      </c>
      <c r="E112" s="24">
        <f>VLOOKUP(C112,CATALOGO!$A$8:$C$36,2)</f>
        <v>7441119600768</v>
      </c>
      <c r="F112" s="24">
        <v>3</v>
      </c>
      <c r="G112" s="39">
        <v>1</v>
      </c>
      <c r="H112" s="39">
        <f>G112</f>
        <v>1</v>
      </c>
    </row>
    <row r="113" spans="1:8" s="22" customFormat="1" x14ac:dyDescent="0.2">
      <c r="A113" s="78" t="s">
        <v>150</v>
      </c>
      <c r="B113" s="79"/>
      <c r="C113" s="79"/>
      <c r="D113" s="79"/>
      <c r="E113" s="79"/>
      <c r="F113" s="79"/>
      <c r="G113" s="79"/>
      <c r="H113" s="48">
        <f>COUNTIF($A$1:H111, "ITEM")</f>
        <v>25</v>
      </c>
    </row>
    <row r="114" spans="1:8" ht="10" customHeight="1" x14ac:dyDescent="0.2">
      <c r="A114" s="80"/>
      <c r="B114" s="80"/>
      <c r="C114" s="80"/>
      <c r="D114" s="80"/>
      <c r="E114" s="80"/>
      <c r="F114" s="80"/>
      <c r="G114" s="80"/>
      <c r="H114" s="80"/>
    </row>
    <row r="115" spans="1:8" s="22" customFormat="1" ht="20" customHeight="1" x14ac:dyDescent="0.2">
      <c r="A115" s="55" t="s">
        <v>5</v>
      </c>
      <c r="B115" s="55" t="s">
        <v>6</v>
      </c>
      <c r="C115" s="55" t="s">
        <v>7</v>
      </c>
      <c r="D115" s="55" t="s">
        <v>12</v>
      </c>
      <c r="E115" s="55" t="s">
        <v>11</v>
      </c>
      <c r="F115" s="55" t="s">
        <v>8</v>
      </c>
      <c r="G115" s="55" t="s">
        <v>9</v>
      </c>
      <c r="H115" s="55" t="s">
        <v>10</v>
      </c>
    </row>
    <row r="116" spans="1:8" s="22" customFormat="1" x14ac:dyDescent="0.2">
      <c r="A116" s="39">
        <v>806</v>
      </c>
      <c r="B116" s="39" t="str">
        <f>VLOOKUP(A116,'PUNTOS DE VENTA'!A$2:B$75,2)</f>
        <v>Maxi Santa Ana</v>
      </c>
      <c r="C116" s="39">
        <v>2647973</v>
      </c>
      <c r="D116" s="23" t="str">
        <f>VLOOKUP(C116,CATALOGO!$A$8:$C$36,3)</f>
        <v>almohada bebe sencilla estampada</v>
      </c>
      <c r="E116" s="24">
        <f>VLOOKUP(C116,CATALOGO!$A$8:$C$36,2)</f>
        <v>7441119600768</v>
      </c>
      <c r="F116" s="24">
        <v>3</v>
      </c>
      <c r="G116" s="39">
        <v>1</v>
      </c>
      <c r="H116" s="39">
        <f>G116</f>
        <v>1</v>
      </c>
    </row>
    <row r="117" spans="1:8" s="22" customFormat="1" x14ac:dyDescent="0.2">
      <c r="A117" s="78" t="s">
        <v>150</v>
      </c>
      <c r="B117" s="79"/>
      <c r="C117" s="79"/>
      <c r="D117" s="79"/>
      <c r="E117" s="79"/>
      <c r="F117" s="79"/>
      <c r="G117" s="79"/>
      <c r="H117" s="48">
        <f>COUNTIF($A$1:H115, "ITEM")</f>
        <v>26</v>
      </c>
    </row>
    <row r="118" spans="1:8" ht="10" customHeight="1" x14ac:dyDescent="0.2">
      <c r="A118" s="80"/>
      <c r="B118" s="80"/>
      <c r="C118" s="80"/>
      <c r="D118" s="80"/>
      <c r="E118" s="80"/>
      <c r="F118" s="80"/>
      <c r="G118" s="80"/>
      <c r="H118" s="80"/>
    </row>
    <row r="119" spans="1:8" s="22" customFormat="1" ht="20" customHeight="1" x14ac:dyDescent="0.2">
      <c r="A119" s="55" t="s">
        <v>5</v>
      </c>
      <c r="B119" s="55" t="s">
        <v>6</v>
      </c>
      <c r="C119" s="55" t="s">
        <v>7</v>
      </c>
      <c r="D119" s="55" t="s">
        <v>12</v>
      </c>
      <c r="E119" s="55" t="s">
        <v>11</v>
      </c>
      <c r="F119" s="55" t="s">
        <v>8</v>
      </c>
      <c r="G119" s="55" t="s">
        <v>9</v>
      </c>
      <c r="H119" s="55" t="s">
        <v>10</v>
      </c>
    </row>
    <row r="120" spans="1:8" s="22" customFormat="1" x14ac:dyDescent="0.2">
      <c r="A120" s="39">
        <v>827</v>
      </c>
      <c r="B120" s="39" t="str">
        <f>VLOOKUP(A120,'PUNTOS DE VENTA'!A$2:B$75,2)</f>
        <v>Maxi La Fortuna</v>
      </c>
      <c r="C120" s="39">
        <v>2645516</v>
      </c>
      <c r="D120" s="23" t="str">
        <f>VLOOKUP(C120,CATALOGO!$A$8:$C$36,3)</f>
        <v>almohada y funda bebe colores surtidos docoma</v>
      </c>
      <c r="E120" s="24">
        <f>VLOOKUP(C120,CATALOGO!$A$8:$C$36,2)</f>
        <v>7441119600652</v>
      </c>
      <c r="F120" s="24">
        <v>3</v>
      </c>
      <c r="G120" s="39">
        <v>1</v>
      </c>
      <c r="H120" s="39">
        <f>G120</f>
        <v>1</v>
      </c>
    </row>
    <row r="121" spans="1:8" s="22" customFormat="1" x14ac:dyDescent="0.2">
      <c r="A121" s="78" t="s">
        <v>150</v>
      </c>
      <c r="B121" s="79"/>
      <c r="C121" s="79"/>
      <c r="D121" s="79"/>
      <c r="E121" s="79"/>
      <c r="F121" s="79"/>
      <c r="G121" s="79"/>
      <c r="H121" s="48">
        <f>COUNTIF($A$1:H119, "ITEM")</f>
        <v>27</v>
      </c>
    </row>
    <row r="122" spans="1:8" ht="10" customHeight="1" x14ac:dyDescent="0.2">
      <c r="A122" s="80"/>
      <c r="B122" s="80"/>
      <c r="C122" s="80"/>
      <c r="D122" s="80"/>
      <c r="E122" s="80"/>
      <c r="F122" s="80"/>
      <c r="G122" s="80"/>
      <c r="H122" s="80"/>
    </row>
    <row r="123" spans="1:8" s="22" customFormat="1" ht="20" customHeight="1" x14ac:dyDescent="0.2">
      <c r="A123" s="55" t="s">
        <v>5</v>
      </c>
      <c r="B123" s="55" t="s">
        <v>6</v>
      </c>
      <c r="C123" s="55" t="s">
        <v>7</v>
      </c>
      <c r="D123" s="55" t="s">
        <v>12</v>
      </c>
      <c r="E123" s="55" t="s">
        <v>11</v>
      </c>
      <c r="F123" s="55" t="s">
        <v>8</v>
      </c>
      <c r="G123" s="55" t="s">
        <v>9</v>
      </c>
      <c r="H123" s="55" t="s">
        <v>10</v>
      </c>
    </row>
    <row r="124" spans="1:8" s="22" customFormat="1" x14ac:dyDescent="0.2">
      <c r="A124" s="39">
        <v>828</v>
      </c>
      <c r="B124" s="39" t="str">
        <f>VLOOKUP(A124,'PUNTOS DE VENTA'!A$2:B$75,2)</f>
        <v>Maxi Upala</v>
      </c>
      <c r="C124" s="39">
        <v>2645516</v>
      </c>
      <c r="D124" s="23" t="str">
        <f>VLOOKUP(C124,CATALOGO!$A$8:$C$36,3)</f>
        <v>almohada y funda bebe colores surtidos docoma</v>
      </c>
      <c r="E124" s="24">
        <f>VLOOKUP(C124,CATALOGO!$A$8:$C$36,2)</f>
        <v>7441119600652</v>
      </c>
      <c r="F124" s="24">
        <v>3</v>
      </c>
      <c r="G124" s="39">
        <v>1</v>
      </c>
      <c r="H124" s="39">
        <f>G124</f>
        <v>1</v>
      </c>
    </row>
    <row r="125" spans="1:8" s="22" customFormat="1" x14ac:dyDescent="0.2">
      <c r="A125" s="78" t="s">
        <v>150</v>
      </c>
      <c r="B125" s="79"/>
      <c r="C125" s="79"/>
      <c r="D125" s="79"/>
      <c r="E125" s="79"/>
      <c r="F125" s="79"/>
      <c r="G125" s="79"/>
      <c r="H125" s="48">
        <f>COUNTIF($A$1:H123, "ITEM")</f>
        <v>28</v>
      </c>
    </row>
    <row r="126" spans="1:8" ht="10" customHeight="1" x14ac:dyDescent="0.2">
      <c r="A126" s="80"/>
      <c r="B126" s="80"/>
      <c r="C126" s="80"/>
      <c r="D126" s="80"/>
      <c r="E126" s="80"/>
      <c r="F126" s="80"/>
      <c r="G126" s="80"/>
      <c r="H126" s="80"/>
    </row>
    <row r="127" spans="1:8" s="22" customFormat="1" ht="20" customHeight="1" x14ac:dyDescent="0.2">
      <c r="A127" s="55" t="s">
        <v>5</v>
      </c>
      <c r="B127" s="55" t="s">
        <v>6</v>
      </c>
      <c r="C127" s="55" t="s">
        <v>7</v>
      </c>
      <c r="D127" s="55" t="s">
        <v>12</v>
      </c>
      <c r="E127" s="55" t="s">
        <v>11</v>
      </c>
      <c r="F127" s="55" t="s">
        <v>8</v>
      </c>
      <c r="G127" s="55" t="s">
        <v>9</v>
      </c>
      <c r="H127" s="55" t="s">
        <v>10</v>
      </c>
    </row>
    <row r="128" spans="1:8" s="22" customFormat="1" x14ac:dyDescent="0.2">
      <c r="A128" s="39">
        <v>829</v>
      </c>
      <c r="B128" s="39" t="str">
        <f>VLOOKUP(A128,'PUNTOS DE VENTA'!A$2:B$75,2)</f>
        <v>Walmart Perez Zeledon</v>
      </c>
      <c r="C128" s="39">
        <v>2647973</v>
      </c>
      <c r="D128" s="23" t="str">
        <f>VLOOKUP(C128,CATALOGO!$A$8:$C$36,3)</f>
        <v>almohada bebe sencilla estampada</v>
      </c>
      <c r="E128" s="24">
        <f>VLOOKUP(C128,CATALOGO!$A$8:$C$36,2)</f>
        <v>7441119600768</v>
      </c>
      <c r="F128" s="24">
        <v>3</v>
      </c>
      <c r="G128" s="39">
        <v>4</v>
      </c>
      <c r="H128" s="39">
        <f>G128</f>
        <v>4</v>
      </c>
    </row>
    <row r="129" spans="1:8" s="22" customFormat="1" x14ac:dyDescent="0.2">
      <c r="A129" s="78" t="s">
        <v>150</v>
      </c>
      <c r="B129" s="79"/>
      <c r="C129" s="79"/>
      <c r="D129" s="79"/>
      <c r="E129" s="79"/>
      <c r="F129" s="79"/>
      <c r="G129" s="79"/>
      <c r="H129" s="48">
        <f>COUNTIF($A$1:H127, "ITEM")</f>
        <v>29</v>
      </c>
    </row>
    <row r="130" spans="1:8" ht="10" customHeight="1" x14ac:dyDescent="0.2">
      <c r="A130" s="80"/>
      <c r="B130" s="80"/>
      <c r="C130" s="80"/>
      <c r="D130" s="80"/>
      <c r="E130" s="80"/>
      <c r="F130" s="80"/>
      <c r="G130" s="80"/>
      <c r="H130" s="80"/>
    </row>
    <row r="131" spans="1:8" s="22" customFormat="1" ht="20" customHeight="1" x14ac:dyDescent="0.2">
      <c r="A131" s="55" t="s">
        <v>5</v>
      </c>
      <c r="B131" s="55" t="s">
        <v>6</v>
      </c>
      <c r="C131" s="55" t="s">
        <v>7</v>
      </c>
      <c r="D131" s="55" t="s">
        <v>12</v>
      </c>
      <c r="E131" s="55" t="s">
        <v>11</v>
      </c>
      <c r="F131" s="55" t="s">
        <v>8</v>
      </c>
      <c r="G131" s="55" t="s">
        <v>9</v>
      </c>
      <c r="H131" s="55" t="s">
        <v>10</v>
      </c>
    </row>
    <row r="132" spans="1:8" s="22" customFormat="1" x14ac:dyDescent="0.2">
      <c r="A132" s="39">
        <v>831</v>
      </c>
      <c r="B132" s="39" t="str">
        <f>VLOOKUP(A132,'PUNTOS DE VENTA'!A$2:B$75,2)</f>
        <v>Walmart Heredia Este</v>
      </c>
      <c r="C132" s="39">
        <v>2647973</v>
      </c>
      <c r="D132" s="39" t="str">
        <f>VLOOKUP(C132,CATALOGO!$A$8:$C$36,3)</f>
        <v>almohada bebe sencilla estampada</v>
      </c>
      <c r="E132" s="24">
        <f>VLOOKUP(C132,CATALOGO!$A$8:$C$36,2)</f>
        <v>7441119600768</v>
      </c>
      <c r="F132" s="24">
        <v>3</v>
      </c>
      <c r="G132" s="39">
        <v>1</v>
      </c>
      <c r="H132" s="39">
        <f>G132</f>
        <v>1</v>
      </c>
    </row>
    <row r="133" spans="1:8" s="22" customFormat="1" x14ac:dyDescent="0.2">
      <c r="A133" s="78" t="s">
        <v>150</v>
      </c>
      <c r="B133" s="79"/>
      <c r="C133" s="79"/>
      <c r="D133" s="79"/>
      <c r="E133" s="79"/>
      <c r="F133" s="79"/>
      <c r="G133" s="79"/>
      <c r="H133" s="48">
        <f>COUNTIF($A$1:H131, "ITEM")</f>
        <v>30</v>
      </c>
    </row>
    <row r="134" spans="1:8" ht="10" customHeight="1" x14ac:dyDescent="0.2">
      <c r="A134" s="80"/>
      <c r="B134" s="80"/>
      <c r="C134" s="80"/>
      <c r="D134" s="80"/>
      <c r="E134" s="80"/>
      <c r="F134" s="80"/>
      <c r="G134" s="80"/>
      <c r="H134" s="80"/>
    </row>
    <row r="135" spans="1:8" s="22" customFormat="1" ht="20" customHeight="1" x14ac:dyDescent="0.2">
      <c r="A135" s="55" t="s">
        <v>5</v>
      </c>
      <c r="B135" s="55" t="s">
        <v>6</v>
      </c>
      <c r="C135" s="55" t="s">
        <v>7</v>
      </c>
      <c r="D135" s="55" t="s">
        <v>12</v>
      </c>
      <c r="E135" s="55" t="s">
        <v>11</v>
      </c>
      <c r="F135" s="55" t="s">
        <v>8</v>
      </c>
      <c r="G135" s="55" t="s">
        <v>9</v>
      </c>
      <c r="H135" s="55" t="s">
        <v>10</v>
      </c>
    </row>
    <row r="136" spans="1:8" s="22" customFormat="1" x14ac:dyDescent="0.2">
      <c r="A136" s="39">
        <v>930</v>
      </c>
      <c r="B136" s="39" t="str">
        <f>VLOOKUP(A136,'PUNTOS DE VENTA'!A$2:B$75,2)</f>
        <v>Maxi Los Guido</v>
      </c>
      <c r="C136" s="39">
        <v>2645516</v>
      </c>
      <c r="D136" s="23" t="str">
        <f>VLOOKUP(C136,CATALOGO!$A$8:$C$36,3)</f>
        <v>almohada y funda bebe colores surtidos docoma</v>
      </c>
      <c r="E136" s="24">
        <f>VLOOKUP(C136,CATALOGO!$A$8:$C$36,2)</f>
        <v>7441119600652</v>
      </c>
      <c r="F136" s="24">
        <v>3</v>
      </c>
      <c r="G136" s="39">
        <v>2</v>
      </c>
      <c r="H136" s="39">
        <v>1</v>
      </c>
    </row>
    <row r="137" spans="1:8" s="22" customFormat="1" x14ac:dyDescent="0.2">
      <c r="A137" s="78" t="s">
        <v>150</v>
      </c>
      <c r="B137" s="79"/>
      <c r="C137" s="79"/>
      <c r="D137" s="79"/>
      <c r="E137" s="79"/>
      <c r="F137" s="79"/>
      <c r="G137" s="79"/>
      <c r="H137" s="48">
        <f>COUNTIF($A$1:H135, "ITEM")</f>
        <v>31</v>
      </c>
    </row>
    <row r="138" spans="1:8" ht="10" customHeight="1" x14ac:dyDescent="0.2">
      <c r="A138" s="80"/>
      <c r="B138" s="80"/>
      <c r="C138" s="80"/>
      <c r="D138" s="80"/>
      <c r="E138" s="80"/>
      <c r="F138" s="80"/>
      <c r="G138" s="80"/>
      <c r="H138" s="80"/>
    </row>
    <row r="139" spans="1:8" s="22" customFormat="1" ht="20" customHeight="1" x14ac:dyDescent="0.2">
      <c r="A139" s="55" t="s">
        <v>5</v>
      </c>
      <c r="B139" s="55" t="s">
        <v>6</v>
      </c>
      <c r="C139" s="55" t="s">
        <v>7</v>
      </c>
      <c r="D139" s="55" t="s">
        <v>12</v>
      </c>
      <c r="E139" s="55" t="s">
        <v>11</v>
      </c>
      <c r="F139" s="55" t="s">
        <v>8</v>
      </c>
      <c r="G139" s="55" t="s">
        <v>9</v>
      </c>
      <c r="H139" s="55" t="s">
        <v>10</v>
      </c>
    </row>
    <row r="140" spans="1:8" s="22" customFormat="1" x14ac:dyDescent="0.2">
      <c r="A140" s="39">
        <v>965</v>
      </c>
      <c r="B140" s="39" t="str">
        <f>VLOOKUP(A140,'PUNTOS DE VENTA'!A$2:B$75,2)</f>
        <v>Maxi Cariari</v>
      </c>
      <c r="C140" s="39">
        <v>2647973</v>
      </c>
      <c r="D140" s="39" t="str">
        <f>VLOOKUP(C140,CATALOGO!$A$8:$C$36,3)</f>
        <v>almohada bebe sencilla estampada</v>
      </c>
      <c r="E140" s="24">
        <f>VLOOKUP(C140,CATALOGO!$A$8:$C$36,2)</f>
        <v>7441119600768</v>
      </c>
      <c r="F140" s="24">
        <v>3</v>
      </c>
      <c r="G140" s="39">
        <v>1</v>
      </c>
      <c r="H140" s="39">
        <f>G140</f>
        <v>1</v>
      </c>
    </row>
    <row r="141" spans="1:8" s="22" customFormat="1" x14ac:dyDescent="0.2">
      <c r="A141" s="78" t="s">
        <v>150</v>
      </c>
      <c r="B141" s="79"/>
      <c r="C141" s="79"/>
      <c r="D141" s="79"/>
      <c r="E141" s="79"/>
      <c r="F141" s="79"/>
      <c r="G141" s="79"/>
      <c r="H141" s="48">
        <f>COUNTIF($A$1:H139, "ITEM")</f>
        <v>32</v>
      </c>
    </row>
    <row r="142" spans="1:8" ht="10" customHeight="1" x14ac:dyDescent="0.2">
      <c r="A142" s="80"/>
      <c r="B142" s="80"/>
      <c r="C142" s="80"/>
      <c r="D142" s="80"/>
      <c r="E142" s="80"/>
      <c r="F142" s="80"/>
      <c r="G142" s="80"/>
      <c r="H142" s="80"/>
    </row>
    <row r="143" spans="1:8" s="22" customFormat="1" ht="20" customHeight="1" x14ac:dyDescent="0.2">
      <c r="A143" s="55" t="s">
        <v>5</v>
      </c>
      <c r="B143" s="55" t="s">
        <v>6</v>
      </c>
      <c r="C143" s="55" t="s">
        <v>7</v>
      </c>
      <c r="D143" s="55" t="s">
        <v>12</v>
      </c>
      <c r="E143" s="55" t="s">
        <v>11</v>
      </c>
      <c r="F143" s="55" t="s">
        <v>8</v>
      </c>
      <c r="G143" s="55" t="s">
        <v>9</v>
      </c>
      <c r="H143" s="55" t="s">
        <v>10</v>
      </c>
    </row>
    <row r="144" spans="1:8" s="22" customFormat="1" x14ac:dyDescent="0.2">
      <c r="A144" s="39">
        <v>966</v>
      </c>
      <c r="B144" s="39" t="str">
        <f>VLOOKUP(A144,'PUNTOS DE VENTA'!A$2:B$75,2)</f>
        <v>Maxi Uvita</v>
      </c>
      <c r="C144" s="39">
        <v>2645516</v>
      </c>
      <c r="D144" s="39" t="str">
        <f>VLOOKUP(C144,CATALOGO!$A$8:$C$36,3)</f>
        <v>almohada y funda bebe colores surtidos docoma</v>
      </c>
      <c r="E144" s="24">
        <f>VLOOKUP(C144,CATALOGO!$A$8:$C$36,2)</f>
        <v>7441119600652</v>
      </c>
      <c r="F144" s="24">
        <v>3</v>
      </c>
      <c r="G144" s="39">
        <v>1</v>
      </c>
      <c r="H144" s="39">
        <f>G144</f>
        <v>1</v>
      </c>
    </row>
    <row r="145" spans="1:8" s="22" customFormat="1" x14ac:dyDescent="0.2">
      <c r="A145" s="78" t="s">
        <v>150</v>
      </c>
      <c r="B145" s="79"/>
      <c r="C145" s="79"/>
      <c r="D145" s="79"/>
      <c r="E145" s="79"/>
      <c r="F145" s="79"/>
      <c r="G145" s="79"/>
      <c r="H145" s="48">
        <f>COUNTIF($A$1:H143, "ITEM")</f>
        <v>33</v>
      </c>
    </row>
    <row r="146" spans="1:8" ht="10" customHeight="1" x14ac:dyDescent="0.2">
      <c r="A146" s="81"/>
      <c r="B146" s="81"/>
      <c r="C146" s="81"/>
      <c r="D146" s="81"/>
      <c r="E146" s="81"/>
      <c r="F146" s="81"/>
      <c r="G146" s="81"/>
      <c r="H146" s="81"/>
    </row>
  </sheetData>
  <mergeCells count="78">
    <mergeCell ref="A5:H5"/>
    <mergeCell ref="A1:H1"/>
    <mergeCell ref="G4:H4"/>
    <mergeCell ref="C2:D2"/>
    <mergeCell ref="E4:F4"/>
    <mergeCell ref="E2:F2"/>
    <mergeCell ref="G2:H2"/>
    <mergeCell ref="C4:D4"/>
    <mergeCell ref="A2:B2"/>
    <mergeCell ref="A3:B3"/>
    <mergeCell ref="A4:B4"/>
    <mergeCell ref="C3:H3"/>
    <mergeCell ref="A146:H146"/>
    <mergeCell ref="A8:G8"/>
    <mergeCell ref="A145:G145"/>
    <mergeCell ref="A9:H9"/>
    <mergeCell ref="A109:G109"/>
    <mergeCell ref="A110:H110"/>
    <mergeCell ref="A113:G113"/>
    <mergeCell ref="A114:H114"/>
    <mergeCell ref="A117:G117"/>
    <mergeCell ref="A118:H118"/>
    <mergeCell ref="A121:G121"/>
    <mergeCell ref="A122:H122"/>
    <mergeCell ref="A125:G125"/>
    <mergeCell ref="A126:H126"/>
    <mergeCell ref="A13:G13"/>
    <mergeCell ref="A14:H14"/>
    <mergeCell ref="A18:G18"/>
    <mergeCell ref="A19:H19"/>
    <mergeCell ref="A22:G22"/>
    <mergeCell ref="A23:H23"/>
    <mergeCell ref="A26:G26"/>
    <mergeCell ref="A27:H27"/>
    <mergeCell ref="A31:G31"/>
    <mergeCell ref="A32:H32"/>
    <mergeCell ref="A35:G35"/>
    <mergeCell ref="A36:H36"/>
    <mergeCell ref="A39:G39"/>
    <mergeCell ref="A40:H40"/>
    <mergeCell ref="A44:G44"/>
    <mergeCell ref="A56:G56"/>
    <mergeCell ref="A57:H57"/>
    <mergeCell ref="A60:G60"/>
    <mergeCell ref="A61:H61"/>
    <mergeCell ref="A65:G65"/>
    <mergeCell ref="A45:H45"/>
    <mergeCell ref="A48:G48"/>
    <mergeCell ref="A49:H49"/>
    <mergeCell ref="A52:G52"/>
    <mergeCell ref="A53:H53"/>
    <mergeCell ref="A78:G78"/>
    <mergeCell ref="A79:H79"/>
    <mergeCell ref="A83:G83"/>
    <mergeCell ref="A84:H84"/>
    <mergeCell ref="A87:G87"/>
    <mergeCell ref="A66:H66"/>
    <mergeCell ref="A69:G69"/>
    <mergeCell ref="A70:H70"/>
    <mergeCell ref="A73:G73"/>
    <mergeCell ref="A74:H74"/>
    <mergeCell ref="A101:G101"/>
    <mergeCell ref="A102:H102"/>
    <mergeCell ref="A105:G105"/>
    <mergeCell ref="A106:H106"/>
    <mergeCell ref="A129:G129"/>
    <mergeCell ref="A88:H88"/>
    <mergeCell ref="A92:G92"/>
    <mergeCell ref="A93:H93"/>
    <mergeCell ref="A96:G96"/>
    <mergeCell ref="A97:H97"/>
    <mergeCell ref="A141:G141"/>
    <mergeCell ref="A142:H142"/>
    <mergeCell ref="A130:H130"/>
    <mergeCell ref="A133:G133"/>
    <mergeCell ref="A134:H134"/>
    <mergeCell ref="A137:G137"/>
    <mergeCell ref="A138:H138"/>
  </mergeCells>
  <pageMargins left="0.7" right="0.7" top="0.75" bottom="0.75" header="0.3" footer="0.3"/>
  <pageSetup scale="65" fitToHeight="0" orientation="portrait" r:id="rId1"/>
  <headerFooter>
    <oddHeader>&amp;C&amp;"Consolas,Negrita"&amp;15CENTRO DE DISTRIBUCION COYOL
&amp;13DISTRIBUCIÓN POR PUNTO DE VENTA</oddHeader>
    <oddFooter>&amp;L&amp;"-,Negrita"&amp;15Hoja de distribución&amp;R&amp;"-,Negrita"&amp;15Página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BC3-511A-7B4F-8C36-DF3E61A9E58D}">
  <sheetPr>
    <pageSetUpPr fitToPage="1"/>
  </sheetPr>
  <dimension ref="A1:H43"/>
  <sheetViews>
    <sheetView workbookViewId="0"/>
  </sheetViews>
  <sheetFormatPr baseColWidth="10" defaultRowHeight="15" x14ac:dyDescent="0.2"/>
  <cols>
    <col min="2" max="2" width="16.83203125" style="75" bestFit="1" customWidth="1"/>
    <col min="5" max="6" width="12.1640625" customWidth="1"/>
    <col min="7" max="7" width="20.83203125" customWidth="1"/>
    <col min="8" max="8" width="12.33203125" customWidth="1"/>
  </cols>
  <sheetData>
    <row r="1" spans="1:8" x14ac:dyDescent="0.2">
      <c r="A1" t="s">
        <v>246</v>
      </c>
      <c r="B1" s="75" t="s">
        <v>247</v>
      </c>
      <c r="C1" t="s">
        <v>248</v>
      </c>
      <c r="D1" t="s">
        <v>7</v>
      </c>
      <c r="E1" t="s">
        <v>249</v>
      </c>
      <c r="F1" t="s">
        <v>250</v>
      </c>
      <c r="G1" t="s">
        <v>251</v>
      </c>
      <c r="H1" t="s">
        <v>252</v>
      </c>
    </row>
    <row r="2" spans="1:8" x14ac:dyDescent="0.2">
      <c r="A2">
        <v>2900678609</v>
      </c>
      <c r="B2" s="75">
        <v>7441119600768</v>
      </c>
      <c r="C2">
        <v>1</v>
      </c>
      <c r="D2">
        <v>2647973</v>
      </c>
      <c r="E2">
        <v>1046</v>
      </c>
      <c r="F2">
        <v>1</v>
      </c>
      <c r="G2">
        <v>1</v>
      </c>
      <c r="H2">
        <f>F2-G2</f>
        <v>0</v>
      </c>
    </row>
    <row r="3" spans="1:8" x14ac:dyDescent="0.2">
      <c r="A3">
        <v>2900678609</v>
      </c>
      <c r="B3" s="75">
        <v>7441119600652</v>
      </c>
      <c r="C3">
        <v>2</v>
      </c>
      <c r="D3">
        <v>2645516</v>
      </c>
      <c r="E3">
        <v>3048</v>
      </c>
      <c r="F3">
        <v>1</v>
      </c>
      <c r="G3">
        <v>1</v>
      </c>
      <c r="H3">
        <f>F3-G3</f>
        <v>0</v>
      </c>
    </row>
    <row r="4" spans="1:8" x14ac:dyDescent="0.2">
      <c r="A4">
        <v>2900678609</v>
      </c>
      <c r="B4" s="75">
        <v>7441119600768</v>
      </c>
      <c r="C4">
        <v>3</v>
      </c>
      <c r="D4">
        <v>2647973</v>
      </c>
      <c r="E4">
        <v>3048</v>
      </c>
      <c r="F4">
        <v>1</v>
      </c>
      <c r="G4">
        <v>1</v>
      </c>
      <c r="H4">
        <f>F4-G4</f>
        <v>0</v>
      </c>
    </row>
    <row r="5" spans="1:8" x14ac:dyDescent="0.2">
      <c r="A5">
        <v>2900678609</v>
      </c>
      <c r="B5" s="75">
        <v>7441119600652</v>
      </c>
      <c r="C5">
        <v>4</v>
      </c>
      <c r="D5">
        <v>2645516</v>
      </c>
      <c r="E5">
        <v>3112</v>
      </c>
      <c r="F5">
        <v>2</v>
      </c>
      <c r="G5">
        <v>1</v>
      </c>
      <c r="H5">
        <f>F5-G5</f>
        <v>1</v>
      </c>
    </row>
    <row r="6" spans="1:8" x14ac:dyDescent="0.2">
      <c r="A6">
        <v>2900678609</v>
      </c>
      <c r="B6" s="75">
        <v>7441119600768</v>
      </c>
      <c r="C6">
        <v>5</v>
      </c>
      <c r="D6">
        <v>2647973</v>
      </c>
      <c r="E6">
        <v>3112</v>
      </c>
      <c r="F6">
        <v>4</v>
      </c>
      <c r="G6">
        <v>4</v>
      </c>
      <c r="H6">
        <f>F6-G6</f>
        <v>0</v>
      </c>
    </row>
    <row r="7" spans="1:8" x14ac:dyDescent="0.2">
      <c r="A7">
        <v>2900678609</v>
      </c>
      <c r="B7" s="75">
        <v>7441119600652</v>
      </c>
      <c r="C7">
        <v>6</v>
      </c>
      <c r="D7">
        <v>2645516</v>
      </c>
      <c r="E7">
        <v>3700</v>
      </c>
      <c r="F7">
        <v>1</v>
      </c>
      <c r="G7">
        <v>1</v>
      </c>
      <c r="H7">
        <f>F7-G7</f>
        <v>0</v>
      </c>
    </row>
    <row r="8" spans="1:8" x14ac:dyDescent="0.2">
      <c r="A8">
        <v>2900678609</v>
      </c>
      <c r="B8" s="75">
        <v>7441119600652</v>
      </c>
      <c r="C8">
        <v>7</v>
      </c>
      <c r="D8">
        <v>2645516</v>
      </c>
      <c r="E8">
        <v>3701</v>
      </c>
      <c r="F8">
        <v>1</v>
      </c>
      <c r="G8">
        <v>1</v>
      </c>
      <c r="H8">
        <f>F8-G8</f>
        <v>0</v>
      </c>
    </row>
    <row r="9" spans="1:8" x14ac:dyDescent="0.2">
      <c r="A9">
        <v>2900678609</v>
      </c>
      <c r="B9" s="75">
        <v>7441119600652</v>
      </c>
      <c r="C9">
        <v>8</v>
      </c>
      <c r="D9">
        <v>2645516</v>
      </c>
      <c r="E9">
        <v>3900</v>
      </c>
      <c r="F9">
        <v>1</v>
      </c>
      <c r="G9">
        <v>1</v>
      </c>
      <c r="H9">
        <f>F9-G9</f>
        <v>0</v>
      </c>
    </row>
    <row r="10" spans="1:8" x14ac:dyDescent="0.2">
      <c r="A10">
        <v>2900678609</v>
      </c>
      <c r="B10" s="75">
        <v>7441119600768</v>
      </c>
      <c r="C10">
        <v>9</v>
      </c>
      <c r="D10">
        <v>2647973</v>
      </c>
      <c r="E10">
        <v>3900</v>
      </c>
      <c r="F10">
        <v>1</v>
      </c>
      <c r="G10">
        <v>1</v>
      </c>
      <c r="H10">
        <f>F10-G10</f>
        <v>0</v>
      </c>
    </row>
    <row r="11" spans="1:8" x14ac:dyDescent="0.2">
      <c r="A11">
        <v>2900678609</v>
      </c>
      <c r="B11" s="75">
        <v>7441119600768</v>
      </c>
      <c r="C11">
        <v>10</v>
      </c>
      <c r="D11">
        <v>2647973</v>
      </c>
      <c r="E11">
        <v>3901</v>
      </c>
      <c r="F11">
        <v>1</v>
      </c>
      <c r="G11">
        <v>1</v>
      </c>
      <c r="H11">
        <f>F11-G11</f>
        <v>0</v>
      </c>
    </row>
    <row r="12" spans="1:8" x14ac:dyDescent="0.2">
      <c r="A12">
        <v>2900678609</v>
      </c>
      <c r="B12" s="75">
        <v>7441119600768</v>
      </c>
      <c r="C12">
        <v>11</v>
      </c>
      <c r="D12">
        <v>2647973</v>
      </c>
      <c r="E12">
        <v>3904</v>
      </c>
      <c r="F12">
        <v>1</v>
      </c>
      <c r="G12">
        <v>1</v>
      </c>
      <c r="H12">
        <f>F12-G12</f>
        <v>0</v>
      </c>
    </row>
    <row r="13" spans="1:8" x14ac:dyDescent="0.2">
      <c r="A13">
        <v>2900678609</v>
      </c>
      <c r="B13" s="75">
        <v>7441119600652</v>
      </c>
      <c r="C13">
        <v>12</v>
      </c>
      <c r="D13">
        <v>2645516</v>
      </c>
      <c r="E13">
        <v>3905</v>
      </c>
      <c r="F13">
        <v>2</v>
      </c>
      <c r="G13">
        <v>1</v>
      </c>
      <c r="H13">
        <f>F13-G13</f>
        <v>1</v>
      </c>
    </row>
    <row r="14" spans="1:8" x14ac:dyDescent="0.2">
      <c r="A14">
        <v>2900678609</v>
      </c>
      <c r="B14" s="75">
        <v>7441119600768</v>
      </c>
      <c r="C14">
        <v>13</v>
      </c>
      <c r="D14">
        <v>2647973</v>
      </c>
      <c r="E14">
        <v>3905</v>
      </c>
      <c r="F14">
        <v>7</v>
      </c>
      <c r="G14">
        <v>7</v>
      </c>
      <c r="H14">
        <f>F14-G14</f>
        <v>0</v>
      </c>
    </row>
    <row r="15" spans="1:8" x14ac:dyDescent="0.2">
      <c r="A15">
        <v>2900678609</v>
      </c>
      <c r="B15" s="75">
        <v>7441119600652</v>
      </c>
      <c r="C15">
        <v>14</v>
      </c>
      <c r="D15">
        <v>2645516</v>
      </c>
      <c r="E15">
        <v>4006</v>
      </c>
      <c r="F15">
        <v>1</v>
      </c>
      <c r="G15">
        <v>1</v>
      </c>
      <c r="H15">
        <f>F15-G15</f>
        <v>0</v>
      </c>
    </row>
    <row r="16" spans="1:8" x14ac:dyDescent="0.2">
      <c r="A16">
        <v>2900678609</v>
      </c>
      <c r="B16" s="75">
        <v>7441119600768</v>
      </c>
      <c r="C16">
        <v>15</v>
      </c>
      <c r="D16">
        <v>2647973</v>
      </c>
      <c r="E16">
        <v>4031</v>
      </c>
      <c r="F16">
        <v>1</v>
      </c>
      <c r="G16">
        <v>1</v>
      </c>
      <c r="H16">
        <f>F16-G16</f>
        <v>0</v>
      </c>
    </row>
    <row r="17" spans="1:8" x14ac:dyDescent="0.2">
      <c r="A17">
        <v>2900678609</v>
      </c>
      <c r="B17" s="75">
        <v>7441119600652</v>
      </c>
      <c r="C17">
        <v>16</v>
      </c>
      <c r="D17">
        <v>2645516</v>
      </c>
      <c r="E17">
        <v>4075</v>
      </c>
      <c r="F17">
        <v>1</v>
      </c>
      <c r="G17">
        <v>1</v>
      </c>
      <c r="H17">
        <f>F17-G17</f>
        <v>0</v>
      </c>
    </row>
    <row r="18" spans="1:8" x14ac:dyDescent="0.2">
      <c r="A18">
        <v>2900678609</v>
      </c>
      <c r="B18" s="75">
        <v>7441119600768</v>
      </c>
      <c r="C18">
        <v>17</v>
      </c>
      <c r="D18">
        <v>2647973</v>
      </c>
      <c r="E18">
        <v>4099</v>
      </c>
      <c r="F18">
        <v>2</v>
      </c>
      <c r="G18">
        <v>2</v>
      </c>
      <c r="H18">
        <f>F18-G18</f>
        <v>0</v>
      </c>
    </row>
    <row r="19" spans="1:8" x14ac:dyDescent="0.2">
      <c r="A19">
        <v>2900678609</v>
      </c>
      <c r="B19" s="75">
        <v>7441119600652</v>
      </c>
      <c r="C19">
        <v>18</v>
      </c>
      <c r="D19">
        <v>2645516</v>
      </c>
      <c r="E19">
        <v>4109</v>
      </c>
      <c r="F19">
        <v>1</v>
      </c>
      <c r="G19">
        <v>1</v>
      </c>
      <c r="H19">
        <f>F19-G19</f>
        <v>0</v>
      </c>
    </row>
    <row r="20" spans="1:8" x14ac:dyDescent="0.2">
      <c r="A20">
        <v>2900678609</v>
      </c>
      <c r="B20" s="75">
        <v>7441119600768</v>
      </c>
      <c r="C20">
        <v>19</v>
      </c>
      <c r="D20">
        <v>2647973</v>
      </c>
      <c r="E20">
        <v>4109</v>
      </c>
      <c r="F20">
        <v>3</v>
      </c>
      <c r="G20">
        <v>3</v>
      </c>
      <c r="H20">
        <f>F20-G20</f>
        <v>0</v>
      </c>
    </row>
    <row r="21" spans="1:8" x14ac:dyDescent="0.2">
      <c r="A21">
        <v>2900678609</v>
      </c>
      <c r="B21" s="75">
        <v>7441119600768</v>
      </c>
      <c r="C21">
        <v>20</v>
      </c>
      <c r="D21">
        <v>2647973</v>
      </c>
      <c r="E21">
        <v>4214</v>
      </c>
      <c r="F21">
        <v>1</v>
      </c>
      <c r="G21">
        <v>1</v>
      </c>
      <c r="H21">
        <f>F21-G21</f>
        <v>0</v>
      </c>
    </row>
    <row r="22" spans="1:8" x14ac:dyDescent="0.2">
      <c r="A22">
        <v>2900678609</v>
      </c>
      <c r="B22" s="75">
        <v>7441119600768</v>
      </c>
      <c r="C22">
        <v>21</v>
      </c>
      <c r="D22">
        <v>2647973</v>
      </c>
      <c r="E22">
        <v>4215</v>
      </c>
      <c r="F22">
        <v>1</v>
      </c>
      <c r="G22">
        <v>1</v>
      </c>
      <c r="H22">
        <f>F22-G22</f>
        <v>0</v>
      </c>
    </row>
    <row r="23" spans="1:8" x14ac:dyDescent="0.2">
      <c r="A23">
        <v>2900678609</v>
      </c>
      <c r="B23" s="75">
        <v>7441119600652</v>
      </c>
      <c r="C23">
        <v>22</v>
      </c>
      <c r="D23">
        <v>2645516</v>
      </c>
      <c r="E23">
        <v>4318</v>
      </c>
      <c r="F23">
        <v>1</v>
      </c>
      <c r="G23">
        <v>1</v>
      </c>
      <c r="H23">
        <f>F23-G23</f>
        <v>0</v>
      </c>
    </row>
    <row r="24" spans="1:8" x14ac:dyDescent="0.2">
      <c r="A24">
        <v>2900678609</v>
      </c>
      <c r="B24" s="75">
        <v>7441119600768</v>
      </c>
      <c r="C24">
        <v>23</v>
      </c>
      <c r="D24">
        <v>2647973</v>
      </c>
      <c r="E24">
        <v>4318</v>
      </c>
      <c r="F24">
        <v>1</v>
      </c>
      <c r="G24">
        <v>1</v>
      </c>
      <c r="H24">
        <f>F24-G24</f>
        <v>0</v>
      </c>
    </row>
    <row r="25" spans="1:8" x14ac:dyDescent="0.2">
      <c r="A25">
        <v>2900678609</v>
      </c>
      <c r="B25" s="75">
        <v>7441119600652</v>
      </c>
      <c r="C25">
        <v>24</v>
      </c>
      <c r="D25">
        <v>2645516</v>
      </c>
      <c r="E25">
        <v>4341</v>
      </c>
      <c r="F25">
        <v>1</v>
      </c>
      <c r="G25">
        <v>1</v>
      </c>
      <c r="H25">
        <f>F25-G25</f>
        <v>0</v>
      </c>
    </row>
    <row r="26" spans="1:8" x14ac:dyDescent="0.2">
      <c r="A26">
        <v>2900678609</v>
      </c>
      <c r="B26" s="75">
        <v>7441119600768</v>
      </c>
      <c r="C26">
        <v>25</v>
      </c>
      <c r="D26">
        <v>2647973</v>
      </c>
      <c r="E26">
        <v>4341</v>
      </c>
      <c r="F26">
        <v>1</v>
      </c>
      <c r="G26">
        <v>1</v>
      </c>
      <c r="H26">
        <f>F26-G26</f>
        <v>0</v>
      </c>
    </row>
    <row r="27" spans="1:8" x14ac:dyDescent="0.2">
      <c r="A27">
        <v>2900678609</v>
      </c>
      <c r="B27" s="75">
        <v>7441119600652</v>
      </c>
      <c r="C27">
        <v>26</v>
      </c>
      <c r="D27">
        <v>2645516</v>
      </c>
      <c r="E27">
        <v>4369</v>
      </c>
      <c r="F27">
        <v>1</v>
      </c>
      <c r="G27">
        <v>1</v>
      </c>
      <c r="H27">
        <f>F27-G27</f>
        <v>0</v>
      </c>
    </row>
    <row r="28" spans="1:8" x14ac:dyDescent="0.2">
      <c r="A28">
        <v>2900678609</v>
      </c>
      <c r="B28" s="75">
        <v>7441119600652</v>
      </c>
      <c r="C28">
        <v>27</v>
      </c>
      <c r="D28">
        <v>2645516</v>
      </c>
      <c r="E28">
        <v>4383</v>
      </c>
      <c r="F28">
        <v>1</v>
      </c>
      <c r="G28">
        <v>1</v>
      </c>
      <c r="H28">
        <f>F28-G28</f>
        <v>0</v>
      </c>
    </row>
    <row r="29" spans="1:8" x14ac:dyDescent="0.2">
      <c r="A29">
        <v>2900678609</v>
      </c>
      <c r="B29" s="75">
        <v>7441119600768</v>
      </c>
      <c r="C29">
        <v>28</v>
      </c>
      <c r="D29">
        <v>2647973</v>
      </c>
      <c r="E29">
        <v>4383</v>
      </c>
      <c r="F29">
        <v>1</v>
      </c>
      <c r="G29">
        <v>1</v>
      </c>
      <c r="H29">
        <f>F29-G29</f>
        <v>0</v>
      </c>
    </row>
    <row r="30" spans="1:8" x14ac:dyDescent="0.2">
      <c r="A30">
        <v>2900678609</v>
      </c>
      <c r="B30" s="75">
        <v>7441119600768</v>
      </c>
      <c r="C30">
        <v>29</v>
      </c>
      <c r="D30">
        <v>2647973</v>
      </c>
      <c r="E30">
        <v>4413</v>
      </c>
      <c r="F30">
        <v>1</v>
      </c>
      <c r="G30">
        <v>1</v>
      </c>
      <c r="H30">
        <f>F30-G30</f>
        <v>0</v>
      </c>
    </row>
    <row r="31" spans="1:8" x14ac:dyDescent="0.2">
      <c r="A31">
        <v>2900678609</v>
      </c>
      <c r="B31" s="75">
        <v>7441119600652</v>
      </c>
      <c r="C31">
        <v>30</v>
      </c>
      <c r="D31">
        <v>2645516</v>
      </c>
      <c r="E31">
        <v>4417</v>
      </c>
      <c r="F31">
        <v>1</v>
      </c>
      <c r="G31">
        <v>1</v>
      </c>
      <c r="H31">
        <f>F31-G31</f>
        <v>0</v>
      </c>
    </row>
    <row r="32" spans="1:8" x14ac:dyDescent="0.2">
      <c r="A32">
        <v>2900678609</v>
      </c>
      <c r="B32" s="75">
        <v>7441119600768</v>
      </c>
      <c r="C32">
        <v>31</v>
      </c>
      <c r="D32">
        <v>2647973</v>
      </c>
      <c r="E32">
        <v>4417</v>
      </c>
      <c r="F32">
        <v>1</v>
      </c>
      <c r="G32">
        <v>1</v>
      </c>
      <c r="H32">
        <f>F32-G32</f>
        <v>0</v>
      </c>
    </row>
    <row r="33" spans="1:8" x14ac:dyDescent="0.2">
      <c r="A33">
        <v>2900678609</v>
      </c>
      <c r="B33" s="75">
        <v>7441119600768</v>
      </c>
      <c r="C33">
        <v>32</v>
      </c>
      <c r="D33">
        <v>2647973</v>
      </c>
      <c r="E33">
        <v>4449</v>
      </c>
      <c r="F33">
        <v>1</v>
      </c>
      <c r="G33">
        <v>1</v>
      </c>
      <c r="H33">
        <f>F33-G33</f>
        <v>0</v>
      </c>
    </row>
    <row r="34" spans="1:8" x14ac:dyDescent="0.2">
      <c r="A34">
        <v>2900678609</v>
      </c>
      <c r="B34" s="75">
        <v>7441119600652</v>
      </c>
      <c r="C34">
        <v>33</v>
      </c>
      <c r="D34">
        <v>2645516</v>
      </c>
      <c r="E34">
        <v>768</v>
      </c>
      <c r="F34">
        <v>3</v>
      </c>
      <c r="G34">
        <v>1</v>
      </c>
      <c r="H34">
        <f>F34-G34</f>
        <v>2</v>
      </c>
    </row>
    <row r="35" spans="1:8" x14ac:dyDescent="0.2">
      <c r="A35">
        <v>2900678609</v>
      </c>
      <c r="B35" s="75">
        <v>7441119600768</v>
      </c>
      <c r="C35">
        <v>34</v>
      </c>
      <c r="D35">
        <v>2647973</v>
      </c>
      <c r="E35">
        <v>778</v>
      </c>
      <c r="F35">
        <v>1</v>
      </c>
      <c r="G35">
        <v>1</v>
      </c>
      <c r="H35">
        <f>F35-G35</f>
        <v>0</v>
      </c>
    </row>
    <row r="36" spans="1:8" x14ac:dyDescent="0.2">
      <c r="A36">
        <v>2900678609</v>
      </c>
      <c r="B36" s="75">
        <v>7441119600768</v>
      </c>
      <c r="C36">
        <v>35</v>
      </c>
      <c r="D36">
        <v>2647973</v>
      </c>
      <c r="E36">
        <v>806</v>
      </c>
      <c r="F36">
        <v>1</v>
      </c>
      <c r="G36">
        <v>1</v>
      </c>
      <c r="H36">
        <f>F36-G36</f>
        <v>0</v>
      </c>
    </row>
    <row r="37" spans="1:8" x14ac:dyDescent="0.2">
      <c r="A37">
        <v>2900678609</v>
      </c>
      <c r="B37" s="75">
        <v>7441119600652</v>
      </c>
      <c r="C37">
        <v>36</v>
      </c>
      <c r="D37">
        <v>2645516</v>
      </c>
      <c r="E37">
        <v>827</v>
      </c>
      <c r="F37">
        <v>1</v>
      </c>
      <c r="G37">
        <v>1</v>
      </c>
      <c r="H37">
        <f>F37-G37</f>
        <v>0</v>
      </c>
    </row>
    <row r="38" spans="1:8" x14ac:dyDescent="0.2">
      <c r="A38">
        <v>2900678609</v>
      </c>
      <c r="B38" s="75">
        <v>7441119600652</v>
      </c>
      <c r="C38">
        <v>37</v>
      </c>
      <c r="D38">
        <v>2645516</v>
      </c>
      <c r="E38">
        <v>828</v>
      </c>
      <c r="F38">
        <v>1</v>
      </c>
      <c r="G38">
        <v>1</v>
      </c>
      <c r="H38">
        <f>F38-G38</f>
        <v>0</v>
      </c>
    </row>
    <row r="39" spans="1:8" x14ac:dyDescent="0.2">
      <c r="A39">
        <v>2900678609</v>
      </c>
      <c r="B39" s="75">
        <v>7441119600768</v>
      </c>
      <c r="C39">
        <v>38</v>
      </c>
      <c r="D39">
        <v>2647973</v>
      </c>
      <c r="E39">
        <v>829</v>
      </c>
      <c r="F39">
        <v>4</v>
      </c>
      <c r="G39">
        <v>4</v>
      </c>
      <c r="H39">
        <f>F39-G39</f>
        <v>0</v>
      </c>
    </row>
    <row r="40" spans="1:8" x14ac:dyDescent="0.2">
      <c r="A40">
        <v>2900678609</v>
      </c>
      <c r="B40" s="75">
        <v>7441119600768</v>
      </c>
      <c r="C40">
        <v>39</v>
      </c>
      <c r="D40">
        <v>2647973</v>
      </c>
      <c r="E40">
        <v>831</v>
      </c>
      <c r="F40">
        <v>1</v>
      </c>
      <c r="G40">
        <v>1</v>
      </c>
      <c r="H40">
        <f>F40-G40</f>
        <v>0</v>
      </c>
    </row>
    <row r="41" spans="1:8" x14ac:dyDescent="0.2">
      <c r="A41">
        <v>2900678609</v>
      </c>
      <c r="B41" s="75">
        <v>7441119600652</v>
      </c>
      <c r="C41">
        <v>40</v>
      </c>
      <c r="D41">
        <v>2645516</v>
      </c>
      <c r="E41">
        <v>930</v>
      </c>
      <c r="F41">
        <v>2</v>
      </c>
      <c r="G41">
        <v>1</v>
      </c>
      <c r="H41">
        <f>F41-G41</f>
        <v>1</v>
      </c>
    </row>
    <row r="42" spans="1:8" x14ac:dyDescent="0.2">
      <c r="A42">
        <v>2900678609</v>
      </c>
      <c r="B42" s="75">
        <v>7441119600768</v>
      </c>
      <c r="C42">
        <v>41</v>
      </c>
      <c r="D42">
        <v>2647973</v>
      </c>
      <c r="E42">
        <v>965</v>
      </c>
      <c r="F42">
        <v>1</v>
      </c>
      <c r="G42">
        <v>1</v>
      </c>
      <c r="H42">
        <f>F42-G42</f>
        <v>0</v>
      </c>
    </row>
    <row r="43" spans="1:8" x14ac:dyDescent="0.2">
      <c r="A43">
        <v>2900678609</v>
      </c>
      <c r="B43" s="75">
        <v>7441119600652</v>
      </c>
      <c r="C43">
        <v>42</v>
      </c>
      <c r="D43">
        <v>2645516</v>
      </c>
      <c r="E43">
        <v>966</v>
      </c>
      <c r="F43">
        <v>1</v>
      </c>
      <c r="G43">
        <v>1</v>
      </c>
      <c r="H43">
        <f>F43-G43</f>
        <v>0</v>
      </c>
    </row>
  </sheetData>
  <pageMargins left="0.7" right="0.7" top="0.75" bottom="0.75" header="0.3" footer="0.3"/>
  <pageSetup paperSize="9" scale="77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85CE-351F-464A-B104-30E9738A0EA1}">
  <sheetPr codeName="Hoja2">
    <pageSetUpPr fitToPage="1"/>
  </sheetPr>
  <dimension ref="A1:I30"/>
  <sheetViews>
    <sheetView zoomScaleNormal="100" workbookViewId="0">
      <selection activeCell="H16" sqref="H16"/>
    </sheetView>
  </sheetViews>
  <sheetFormatPr baseColWidth="10" defaultColWidth="11.5" defaultRowHeight="15" x14ac:dyDescent="0.2"/>
  <cols>
    <col min="1" max="2" width="11.5" style="25"/>
    <col min="3" max="3" width="13.6640625" style="25" customWidth="1"/>
    <col min="4" max="4" width="5.33203125" style="25" customWidth="1"/>
    <col min="5" max="7" width="11.5" style="25"/>
    <col min="8" max="8" width="12.5" style="25" customWidth="1"/>
    <col min="9" max="9" width="13.33203125" style="25" customWidth="1"/>
    <col min="10" max="16384" width="11.5" style="25"/>
  </cols>
  <sheetData>
    <row r="1" spans="1:9" ht="30.75" customHeight="1" x14ac:dyDescent="0.2">
      <c r="A1" s="88"/>
      <c r="B1" s="88"/>
      <c r="C1" s="88"/>
      <c r="D1" s="88"/>
      <c r="E1" s="88"/>
      <c r="F1" s="88"/>
      <c r="G1" s="88"/>
      <c r="H1" s="88"/>
      <c r="I1" s="88"/>
    </row>
    <row r="2" spans="1:9" ht="15.75" customHeight="1" x14ac:dyDescent="0.2">
      <c r="A2" s="87" t="s">
        <v>2</v>
      </c>
      <c r="B2" s="87"/>
      <c r="C2" s="85" t="str">
        <f>'RESUMEN DE PUNTOS DE VENTA'!$C$2</f>
        <v>CORELLA ARTAVIA VILMA</v>
      </c>
      <c r="D2" s="85"/>
      <c r="E2" s="85"/>
      <c r="F2" s="85"/>
      <c r="G2" s="89" t="s">
        <v>144</v>
      </c>
      <c r="H2" s="89"/>
      <c r="I2" s="40">
        <f>IF('RESUMEN DE PUNTOS DE VENTA'!G$2, 'RESUMEN DE PUNTOS DE VENTA'!G$2, "")</f>
        <v>42150458</v>
      </c>
    </row>
    <row r="3" spans="1:9" ht="16" x14ac:dyDescent="0.2">
      <c r="A3" s="87" t="s">
        <v>3</v>
      </c>
      <c r="B3" s="87"/>
      <c r="C3" s="85">
        <f>'RESUMEN DE PUNTOS DE VENTA'!$C$3</f>
        <v>19596262</v>
      </c>
      <c r="D3" s="85"/>
      <c r="E3" s="85"/>
      <c r="F3" s="85"/>
      <c r="G3" s="85"/>
      <c r="H3" s="85"/>
      <c r="I3" s="85"/>
    </row>
    <row r="4" spans="1:9" ht="15.75" customHeight="1" x14ac:dyDescent="0.2">
      <c r="A4" s="89" t="s">
        <v>74</v>
      </c>
      <c r="B4" s="89"/>
      <c r="C4" s="85">
        <f>'RESUMEN DE PUNTOS DE VENTA'!$C$4</f>
        <v>2900678609</v>
      </c>
      <c r="D4" s="85"/>
      <c r="E4" s="85"/>
      <c r="F4" s="85"/>
      <c r="G4" s="87" t="s">
        <v>145</v>
      </c>
      <c r="H4" s="87"/>
      <c r="I4" s="41">
        <f>'RESUMEN DE PUNTOS DE VENTA'!$G$4</f>
        <v>26</v>
      </c>
    </row>
    <row r="5" spans="1:9" ht="15.75" customHeight="1" x14ac:dyDescent="0.2">
      <c r="A5" s="88"/>
      <c r="B5" s="88"/>
      <c r="C5" s="88"/>
      <c r="D5" s="88"/>
      <c r="E5" s="88"/>
      <c r="F5" s="88"/>
      <c r="G5" s="88"/>
      <c r="H5" s="88"/>
      <c r="I5" s="88"/>
    </row>
    <row r="6" spans="1:9" ht="16" x14ac:dyDescent="0.2">
      <c r="A6" s="100" t="s">
        <v>165</v>
      </c>
      <c r="B6" s="100"/>
      <c r="C6" s="100"/>
      <c r="D6" s="100"/>
      <c r="E6" s="100"/>
      <c r="F6" s="100"/>
      <c r="G6" s="100"/>
      <c r="H6" s="100"/>
      <c r="I6" s="100"/>
    </row>
    <row r="7" spans="1:9" ht="34" x14ac:dyDescent="0.2">
      <c r="A7" s="56" t="s">
        <v>7</v>
      </c>
      <c r="B7" s="101" t="s">
        <v>28</v>
      </c>
      <c r="C7" s="101"/>
      <c r="D7" s="101"/>
      <c r="E7" s="101"/>
      <c r="F7" s="101"/>
      <c r="G7" s="57" t="s">
        <v>8</v>
      </c>
      <c r="H7" s="57" t="s">
        <v>163</v>
      </c>
      <c r="I7" s="58" t="s">
        <v>164</v>
      </c>
    </row>
    <row r="8" spans="1:9" ht="15.75" customHeight="1" x14ac:dyDescent="0.2">
      <c r="A8" s="59">
        <v>2645516</v>
      </c>
      <c r="B8" s="105" t="str">
        <f>IF(A8&lt;&gt;"",UPPER(VLOOKUP(A8,CATALOGO!$A$8:$E$36,3)),"")</f>
        <v>ALMOHADA Y FUNDA BEBE COLORES SURTIDOS DOCOMA</v>
      </c>
      <c r="C8" s="105"/>
      <c r="D8" s="105"/>
      <c r="E8" s="105"/>
      <c r="F8" s="105"/>
      <c r="G8" s="60">
        <f>IF(A8&lt;&gt;"",VLOOKUP(A8,CATALOGO!$A$8:$E$36,5),"")</f>
        <v>3</v>
      </c>
      <c r="H8" s="60">
        <f>SUMIF('RESUMEN DE PUNTOS DE VENTA'!C$7:C$145,A8,'RESUMEN DE PUNTOS DE VENTA'!H$7:H$145)</f>
        <v>19</v>
      </c>
      <c r="I8" s="61">
        <f>H8*G8</f>
        <v>57</v>
      </c>
    </row>
    <row r="9" spans="1:9" x14ac:dyDescent="0.2">
      <c r="A9" s="62">
        <v>2647973</v>
      </c>
      <c r="B9" s="97" t="str">
        <f>IF(A9&lt;&gt;"",UPPER(VLOOKUP(A9,CATALOGO!$A$8:$E$36,3)),"")</f>
        <v>ALMOHADA BEBE SENCILLA ESTAMPADA</v>
      </c>
      <c r="C9" s="97"/>
      <c r="D9" s="97"/>
      <c r="E9" s="97"/>
      <c r="F9" s="97"/>
      <c r="G9" s="63">
        <f>IF(A8&lt;&gt;"",VLOOKUP(A8,CATALOGO!$A$8:$E$36,5),"")</f>
        <v>3</v>
      </c>
      <c r="H9" s="63">
        <f>IF(A9&lt;&gt;"",SUMIF('RESUMEN DE PUNTOS DE VENTA'!C$7:C$145,A9,'RESUMEN DE PUNTOS DE VENTA'!H$7:H$145),"")</f>
        <v>38</v>
      </c>
      <c r="I9" s="64">
        <f>H9*G9</f>
        <v>114</v>
      </c>
    </row>
    <row r="10" spans="1:9" x14ac:dyDescent="0.2">
      <c r="A10" s="102" t="s">
        <v>67</v>
      </c>
      <c r="B10" s="103"/>
      <c r="C10" s="103"/>
      <c r="D10" s="103"/>
      <c r="E10" s="103"/>
      <c r="F10" s="103"/>
      <c r="G10" s="103"/>
      <c r="H10" s="67">
        <f>SUM(H8:H9)</f>
        <v>57</v>
      </c>
      <c r="I10" s="68">
        <f>SUM(I8:I9)</f>
        <v>171</v>
      </c>
    </row>
    <row r="11" spans="1:9" x14ac:dyDescent="0.2">
      <c r="A11" s="106"/>
      <c r="B11" s="106"/>
      <c r="C11" s="106"/>
      <c r="D11" s="106"/>
      <c r="E11" s="106"/>
      <c r="F11" s="106"/>
      <c r="G11" s="106"/>
      <c r="H11" s="106"/>
      <c r="I11" s="106"/>
    </row>
    <row r="12" spans="1:9" ht="16" x14ac:dyDescent="0.2">
      <c r="A12" s="100" t="s">
        <v>166</v>
      </c>
      <c r="B12" s="100"/>
      <c r="C12" s="100"/>
      <c r="D12" s="100"/>
      <c r="E12" s="100"/>
      <c r="F12" s="100"/>
      <c r="G12" s="100"/>
      <c r="H12" s="100"/>
      <c r="I12" s="100"/>
    </row>
    <row r="13" spans="1:9" x14ac:dyDescent="0.2">
      <c r="A13" s="94" t="s">
        <v>143</v>
      </c>
      <c r="B13" s="92"/>
      <c r="C13" s="92" t="s">
        <v>142</v>
      </c>
      <c r="D13" s="92"/>
      <c r="E13" s="92"/>
      <c r="F13" s="92"/>
      <c r="G13" s="92"/>
      <c r="H13" s="92" t="s">
        <v>149</v>
      </c>
      <c r="I13" s="90" t="s">
        <v>148</v>
      </c>
    </row>
    <row r="14" spans="1:9" x14ac:dyDescent="0.2">
      <c r="A14" s="95"/>
      <c r="B14" s="93"/>
      <c r="C14" s="93"/>
      <c r="D14" s="93"/>
      <c r="E14" s="93"/>
      <c r="F14" s="93"/>
      <c r="G14" s="93"/>
      <c r="H14" s="93"/>
      <c r="I14" s="91"/>
    </row>
    <row r="15" spans="1:9" x14ac:dyDescent="0.2">
      <c r="A15" s="98">
        <v>1</v>
      </c>
      <c r="B15" s="99"/>
      <c r="C15" s="99">
        <f>COUNTIFS(CROSSDOCKING!A$9:A$384,"TOTAL",CROSSDOCKING!G$9:G$384,A15)</f>
        <v>22</v>
      </c>
      <c r="D15" s="99"/>
      <c r="E15" s="99"/>
      <c r="F15" s="99"/>
      <c r="G15" s="99"/>
      <c r="H15" s="65">
        <f>C15*A15</f>
        <v>22</v>
      </c>
      <c r="I15" s="66">
        <f>H15*3</f>
        <v>66</v>
      </c>
    </row>
    <row r="16" spans="1:9" x14ac:dyDescent="0.2">
      <c r="A16" s="96">
        <v>2</v>
      </c>
      <c r="B16" s="97"/>
      <c r="C16" s="97">
        <f>COUNTIFS(CROSSDOCKING!A$9:A$384,"TOTAL",CROSSDOCKING!G$9:G$384,A16)</f>
        <v>7</v>
      </c>
      <c r="D16" s="97"/>
      <c r="E16" s="97"/>
      <c r="F16" s="97"/>
      <c r="G16" s="97"/>
      <c r="H16" s="63">
        <f t="shared" ref="H16" si="0">C16*A16</f>
        <v>14</v>
      </c>
      <c r="I16" s="64">
        <f t="shared" ref="I16" si="1">H16*3</f>
        <v>42</v>
      </c>
    </row>
    <row r="17" spans="1:9" x14ac:dyDescent="0.2">
      <c r="A17" s="98">
        <v>3</v>
      </c>
      <c r="B17" s="99"/>
      <c r="C17" s="99">
        <f>COUNTIFS(CROSSDOCKING!A$9:A$384,"TOTAL",CROSSDOCKING!G$9:G$384,A17)</f>
        <v>0</v>
      </c>
      <c r="D17" s="99"/>
      <c r="E17" s="99"/>
      <c r="F17" s="99"/>
      <c r="G17" s="99"/>
      <c r="H17" s="65">
        <f>C17*A17</f>
        <v>0</v>
      </c>
      <c r="I17" s="66">
        <f>H17*3</f>
        <v>0</v>
      </c>
    </row>
    <row r="18" spans="1:9" x14ac:dyDescent="0.2">
      <c r="A18" s="96">
        <v>4</v>
      </c>
      <c r="B18" s="97"/>
      <c r="C18" s="97">
        <f>COUNTIFS(CROSSDOCKING!A$9:A$384,"TOTAL",CROSSDOCKING!G$9:G$384,A18)</f>
        <v>2</v>
      </c>
      <c r="D18" s="97"/>
      <c r="E18" s="97"/>
      <c r="F18" s="97"/>
      <c r="G18" s="97"/>
      <c r="H18" s="63">
        <f t="shared" ref="H18" si="2">C18*A18</f>
        <v>8</v>
      </c>
      <c r="I18" s="64">
        <f t="shared" ref="I18" si="3">H18*3</f>
        <v>24</v>
      </c>
    </row>
    <row r="19" spans="1:9" x14ac:dyDescent="0.2">
      <c r="A19" s="98">
        <v>5</v>
      </c>
      <c r="B19" s="99"/>
      <c r="C19" s="99">
        <f>COUNTIFS(CROSSDOCKING!A$9:A$384,"TOTAL",CROSSDOCKING!G$9:G$384,A19)</f>
        <v>1</v>
      </c>
      <c r="D19" s="99"/>
      <c r="E19" s="99"/>
      <c r="F19" s="99"/>
      <c r="G19" s="99"/>
      <c r="H19" s="65">
        <f>C19*A19</f>
        <v>5</v>
      </c>
      <c r="I19" s="66">
        <f>H19*3</f>
        <v>15</v>
      </c>
    </row>
    <row r="20" spans="1:9" x14ac:dyDescent="0.2">
      <c r="A20" s="96">
        <v>8</v>
      </c>
      <c r="B20" s="97"/>
      <c r="C20" s="97">
        <f>COUNTIFS(CROSSDOCKING!A$9:A$384,"TOTAL",CROSSDOCKING!G$9:G$384,A20)</f>
        <v>1</v>
      </c>
      <c r="D20" s="97"/>
      <c r="E20" s="97"/>
      <c r="F20" s="97"/>
      <c r="G20" s="97"/>
      <c r="H20" s="63">
        <f t="shared" ref="H20" si="4">C20*A20</f>
        <v>8</v>
      </c>
      <c r="I20" s="64">
        <f t="shared" ref="I20" si="5">H20*3</f>
        <v>24</v>
      </c>
    </row>
    <row r="21" spans="1:9" x14ac:dyDescent="0.2">
      <c r="A21" s="102" t="s">
        <v>67</v>
      </c>
      <c r="B21" s="103"/>
      <c r="C21" s="104">
        <f>SUM(C15:C20)</f>
        <v>33</v>
      </c>
      <c r="D21" s="104"/>
      <c r="E21" s="104"/>
      <c r="F21" s="104"/>
      <c r="G21" s="104"/>
      <c r="H21" s="67">
        <f>SUM(H15:H20)</f>
        <v>57</v>
      </c>
      <c r="I21" s="68">
        <f>SUM(I15:I20)</f>
        <v>171</v>
      </c>
    </row>
    <row r="27" spans="1:9" ht="30" customHeight="1" x14ac:dyDescent="0.2"/>
    <row r="28" spans="1:9" ht="14.5" customHeight="1" x14ac:dyDescent="0.2"/>
    <row r="29" spans="1:9" ht="14.5" customHeight="1" x14ac:dyDescent="0.2"/>
    <row r="30" spans="1:9" ht="14.5" customHeight="1" x14ac:dyDescent="0.2"/>
  </sheetData>
  <mergeCells count="35">
    <mergeCell ref="A6:I6"/>
    <mergeCell ref="B7:F7"/>
    <mergeCell ref="A21:B21"/>
    <mergeCell ref="C21:G21"/>
    <mergeCell ref="A19:B19"/>
    <mergeCell ref="C19:G19"/>
    <mergeCell ref="A12:I12"/>
    <mergeCell ref="B8:F8"/>
    <mergeCell ref="B9:F9"/>
    <mergeCell ref="A10:G10"/>
    <mergeCell ref="A15:B15"/>
    <mergeCell ref="C15:G15"/>
    <mergeCell ref="A20:B20"/>
    <mergeCell ref="C20:G20"/>
    <mergeCell ref="C18:G18"/>
    <mergeCell ref="A11:I11"/>
    <mergeCell ref="I13:I14"/>
    <mergeCell ref="C13:G14"/>
    <mergeCell ref="A13:B14"/>
    <mergeCell ref="H13:H14"/>
    <mergeCell ref="A18:B18"/>
    <mergeCell ref="A16:B16"/>
    <mergeCell ref="C16:G16"/>
    <mergeCell ref="A17:B17"/>
    <mergeCell ref="C17:G17"/>
    <mergeCell ref="A1:I1"/>
    <mergeCell ref="A5:I5"/>
    <mergeCell ref="A2:B2"/>
    <mergeCell ref="A3:B3"/>
    <mergeCell ref="A4:B4"/>
    <mergeCell ref="C3:I3"/>
    <mergeCell ref="G2:H2"/>
    <mergeCell ref="G4:H4"/>
    <mergeCell ref="C2:F2"/>
    <mergeCell ref="C4:F4"/>
  </mergeCells>
  <pageMargins left="0.7" right="0.7" top="0.75" bottom="0.75" header="0.3" footer="0.3"/>
  <pageSetup scale="83" fitToHeight="0" orientation="portrait" r:id="rId1"/>
  <headerFooter>
    <oddHeader>&amp;C&amp;"Consolas,Negrita"&amp;15CENTRO DE DISTRIBUCION COYOL
&amp;13DISTRIBUCIÓN POR PUNTO DE VENTA</oddHeader>
    <oddFooter>&amp;L&amp;"-,Negrita"&amp;15Hoja de distribución&amp;R&amp;"-,Negrita"&amp;15Página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6641B-B8D8-4AE5-94AE-C9A736F0D332}">
  <sheetPr codeName="Hoja3">
    <pageSetUpPr fitToPage="1"/>
  </sheetPr>
  <dimension ref="A1:I386"/>
  <sheetViews>
    <sheetView topLeftCell="A246" zoomScaleNormal="100" workbookViewId="0">
      <selection activeCell="C16" sqref="C16:I16"/>
    </sheetView>
  </sheetViews>
  <sheetFormatPr baseColWidth="10" defaultColWidth="10.83203125" defaultRowHeight="15" x14ac:dyDescent="0.2"/>
  <cols>
    <col min="1" max="1" width="3.5" style="25" customWidth="1"/>
    <col min="2" max="2" width="14.33203125" style="25" customWidth="1"/>
    <col min="3" max="3" width="53.5" style="25" bestFit="1" customWidth="1"/>
    <col min="4" max="4" width="15.83203125" style="25" bestFit="1" customWidth="1"/>
    <col min="5" max="5" width="5.6640625" style="25" customWidth="1"/>
    <col min="6" max="6" width="11.33203125" style="25" bestFit="1" customWidth="1"/>
    <col min="7" max="7" width="7.5" style="25" customWidth="1"/>
    <col min="8" max="8" width="3.6640625" style="25" customWidth="1"/>
    <col min="9" max="9" width="11" style="25" bestFit="1" customWidth="1"/>
    <col min="10" max="16384" width="10.83203125" style="25"/>
  </cols>
  <sheetData>
    <row r="1" spans="1:9" s="28" customFormat="1" ht="16" x14ac:dyDescent="0.2">
      <c r="A1" s="116" t="s">
        <v>59</v>
      </c>
      <c r="B1" s="117"/>
      <c r="C1" s="117"/>
      <c r="D1" s="117"/>
      <c r="E1" s="117"/>
      <c r="F1" s="117"/>
      <c r="G1" s="117"/>
      <c r="H1" s="117"/>
      <c r="I1" s="118"/>
    </row>
    <row r="2" spans="1:9" s="28" customFormat="1" ht="16" x14ac:dyDescent="0.2">
      <c r="A2" s="119" t="s">
        <v>60</v>
      </c>
      <c r="B2" s="120"/>
      <c r="C2" s="120"/>
      <c r="D2" s="120"/>
      <c r="E2" s="120"/>
      <c r="F2" s="120"/>
      <c r="G2" s="120"/>
      <c r="H2" s="120"/>
      <c r="I2" s="121"/>
    </row>
    <row r="3" spans="1:9" s="28" customFormat="1" ht="18.75" customHeight="1" x14ac:dyDescent="0.2">
      <c r="A3" s="122" t="s">
        <v>61</v>
      </c>
      <c r="B3" s="123"/>
      <c r="C3" s="69">
        <v>1046</v>
      </c>
      <c r="D3" s="53" t="s">
        <v>244</v>
      </c>
      <c r="E3" s="124" t="str">
        <f>VLOOKUP(C3,'PUNTOS DE VENTA'!$A$1:$C$75,3)</f>
        <v>XA045</v>
      </c>
      <c r="F3" s="125"/>
      <c r="G3" s="70" t="s">
        <v>62</v>
      </c>
      <c r="H3" s="126">
        <f>'RESUMEN DE PUNTOS DE VENTA'!$C$4</f>
        <v>2900678609</v>
      </c>
      <c r="I3" s="127"/>
    </row>
    <row r="4" spans="1:9" s="28" customFormat="1" ht="18.75" customHeight="1" x14ac:dyDescent="0.2">
      <c r="A4" s="122" t="s">
        <v>63</v>
      </c>
      <c r="B4" s="123"/>
      <c r="C4" s="128" t="str">
        <f>UPPER(VLOOKUP(C3,'PUNTOS DE VENTA'!$A$1:$B$75,2))</f>
        <v>WALMART SANTA ANA</v>
      </c>
      <c r="D4" s="128"/>
      <c r="E4" s="128"/>
      <c r="F4" s="128"/>
      <c r="G4" s="128"/>
      <c r="H4" s="128"/>
      <c r="I4" s="129"/>
    </row>
    <row r="5" spans="1:9" s="28" customFormat="1" ht="22.5" customHeight="1" x14ac:dyDescent="0.2">
      <c r="A5" s="130" t="s">
        <v>7</v>
      </c>
      <c r="B5" s="131"/>
      <c r="C5" s="71" t="s">
        <v>28</v>
      </c>
      <c r="D5" s="72" t="s">
        <v>11</v>
      </c>
      <c r="E5" s="72" t="s">
        <v>8</v>
      </c>
      <c r="F5" s="73" t="s">
        <v>64</v>
      </c>
      <c r="G5" s="132" t="s">
        <v>65</v>
      </c>
      <c r="H5" s="133"/>
      <c r="I5" s="74" t="s">
        <v>66</v>
      </c>
    </row>
    <row r="6" spans="1:9" s="28" customFormat="1" x14ac:dyDescent="0.2">
      <c r="A6" s="32">
        <v>1</v>
      </c>
      <c r="B6" s="30">
        <f>IF(SUMIFS('RESUMEN DE PUNTOS DE VENTA'!C$7:C$145,'RESUMEN DE PUNTOS DE VENTA'!A$7:A$145,C3,'RESUMEN DE PUNTOS DE VENTA'!C$7:C$145,"2645516") = 2645516, 2645516, IF(SUMIFS('RESUMEN DE PUNTOS DE VENTA'!C$7:C$145,'RESUMEN DE PUNTOS DE VENTA'!A$7:A$145,C3,'RESUMEN DE PUNTOS DE VENTA'!C$7:C$145,"2647973") = 2647973, 2647973, ""))</f>
        <v>2647973</v>
      </c>
      <c r="C6" s="31" t="str">
        <f>IF(B6&lt;&gt;"",UPPER(VLOOKUP(B6,CATALOGO!$A$8:$E$36,3)),"")</f>
        <v>ALMOHADA BEBE SENCILLA ESTAMPADA</v>
      </c>
      <c r="D6" s="31">
        <f>IF(B6&lt;&gt;"",VLOOKUP(B6,CATALOGO!$A$8:$E$36,2),"")</f>
        <v>7441119600768</v>
      </c>
      <c r="E6" s="29">
        <f>IF(B6&lt;&gt;"",VLOOKUP(B6,CATALOGO!$A$8:$E$36,5),"")</f>
        <v>3</v>
      </c>
      <c r="F6" s="29">
        <f>IF(B6&lt;&gt;"",SUMIFS('RESUMEN DE PUNTOS DE VENTA'!G$7:G$145,'RESUMEN DE PUNTOS DE VENTA'!A$7:A$145,C3,'RESUMEN DE PUNTOS DE VENTA'!C$7:C$145,CROSSDOCKING!B6),"")</f>
        <v>1</v>
      </c>
      <c r="G6" s="107">
        <f>IF(B6&lt;&gt;"",SUMIFS('RESUMEN DE PUNTOS DE VENTA'!H$7:H$145,'RESUMEN DE PUNTOS DE VENTA'!A$7:A$145,C3,'RESUMEN DE PUNTOS DE VENTA'!C$7:C$145,CROSSDOCKING!B6),"")</f>
        <v>1</v>
      </c>
      <c r="H6" s="108" t="e">
        <f>IF(D6&lt;&gt;"",SUMIFS('RESUMEN DE PUNTOS DE VENTA'!#REF!,'RESUMEN DE PUNTOS DE VENTA'!C8:C145,E3,'RESUMEN DE PUNTOS DE VENTA'!E8:E145,CROSSDOCKING!D6),"")</f>
        <v>#REF!</v>
      </c>
      <c r="I6" s="29">
        <f>IF(B6&lt;&gt;"",F6-G6,"")</f>
        <v>0</v>
      </c>
    </row>
    <row r="7" spans="1:9" s="28" customFormat="1" x14ac:dyDescent="0.2">
      <c r="A7" s="32">
        <v>2</v>
      </c>
      <c r="B7" s="30" t="str">
        <f>IF(AND(B6&lt;&gt;"",B6&lt;&gt;2647973),IF(SUMIFS('RESUMEN DE PUNTOS DE VENTA'!C$7:C$145,'RESUMEN DE PUNTOS DE VENTA'!A$7:A$145,C3,'RESUMEN DE PUNTOS DE VENTA'!C$7:C$145,"2647973")=2647973,2647973,""), "")</f>
        <v/>
      </c>
      <c r="C7" s="31" t="str">
        <f>IF(B7&lt;&gt;"",UPPER(VLOOKUP(B7,CATALOGO!$A$8:$E$36,3)),"")</f>
        <v/>
      </c>
      <c r="D7" s="31" t="str">
        <f>IF(B7&lt;&gt;"",VLOOKUP(B7,CATALOGO!$A$8:$E$36,2),"")</f>
        <v/>
      </c>
      <c r="E7" s="29" t="str">
        <f>IF(B7&lt;&gt;"",VLOOKUP(B7,CATALOGO!$A$8:$E$36,5),"")</f>
        <v/>
      </c>
      <c r="F7" s="29" t="str">
        <f>IF(B7&lt;&gt;"",SUMIFS('RESUMEN DE PUNTOS DE VENTA'!G$7:G$145,'RESUMEN DE PUNTOS DE VENTA'!A$7:A$145,C3,'RESUMEN DE PUNTOS DE VENTA'!C$7:C$145,CROSSDOCKING!B7),"")</f>
        <v/>
      </c>
      <c r="G7" s="107" t="str">
        <f>IF(B7&lt;&gt;"",SUMIFS('RESUMEN DE PUNTOS DE VENTA'!H$7:H$145,'RESUMEN DE PUNTOS DE VENTA'!A$7:A$145,C3,'RESUMEN DE PUNTOS DE VENTA'!C$7:C$145,CROSSDOCKING!B7),"")</f>
        <v/>
      </c>
      <c r="H7" s="108" t="str">
        <f>IF(D7&lt;&gt;"",SUMIFS('RESUMEN DE PUNTOS DE VENTA'!#REF!,'RESUMEN DE PUNTOS DE VENTA'!C8:C145,E4,'RESUMEN DE PUNTOS DE VENTA'!E8:E145,CROSSDOCKING!D7),"")</f>
        <v/>
      </c>
      <c r="I7" s="29" t="str">
        <f t="shared" ref="I7:I8" si="0">IF(B7&lt;&gt;"",F7-G7,"")</f>
        <v/>
      </c>
    </row>
    <row r="8" spans="1:9" s="28" customFormat="1" x14ac:dyDescent="0.2">
      <c r="A8" s="32">
        <v>3</v>
      </c>
      <c r="B8" s="30"/>
      <c r="C8" s="31" t="str">
        <f>IF(B8&lt;&gt;"",UPPER(VLOOKUP(B8,CATALOGO!$A$8:$E$36,3)),"")</f>
        <v/>
      </c>
      <c r="D8" s="31" t="str">
        <f>IF(B8&lt;&gt;"",VLOOKUP(B8,CATALOGO!$A$8:$E$36,2),"")</f>
        <v/>
      </c>
      <c r="E8" s="29" t="str">
        <f>IF(B8&lt;&gt;"",VLOOKUP(B8,CATALOGO!$A$8:$E$36,5),"")</f>
        <v/>
      </c>
      <c r="F8" s="29" t="str">
        <f>IF(B8&lt;&gt;"",SUMIFS('RESUMEN DE PUNTOS DE VENTA'!G$7:G$145,'RESUMEN DE PUNTOS DE VENTA'!A$7:A$145,C3,'RESUMEN DE PUNTOS DE VENTA'!C$7:C$145,CROSSDOCKING!B8),"")</f>
        <v/>
      </c>
      <c r="G8" s="107" t="str">
        <f>IF(B8&lt;&gt;"",SUMIFS('RESUMEN DE PUNTOS DE VENTA'!H$7:H$145,'RESUMEN DE PUNTOS DE VENTA'!A$7:A$145,C3,'RESUMEN DE PUNTOS DE VENTA'!C$7:C$145,CROSSDOCKING!B8),"")</f>
        <v/>
      </c>
      <c r="H8" s="108" t="str">
        <f>IF(D8&lt;&gt;"",SUMIFS('RESUMEN DE PUNTOS DE VENTA'!#REF!,'RESUMEN DE PUNTOS DE VENTA'!C9:C145,E5,'RESUMEN DE PUNTOS DE VENTA'!E9:E145,CROSSDOCKING!D8),"")</f>
        <v/>
      </c>
      <c r="I8" s="29" t="str">
        <f t="shared" si="0"/>
        <v/>
      </c>
    </row>
    <row r="9" spans="1:9" s="28" customFormat="1" ht="15" customHeight="1" x14ac:dyDescent="0.2">
      <c r="A9" s="109" t="s">
        <v>67</v>
      </c>
      <c r="B9" s="110"/>
      <c r="C9" s="110"/>
      <c r="D9" s="110"/>
      <c r="E9" s="111"/>
      <c r="F9" s="29">
        <f>SUM(F6:F8)</f>
        <v>1</v>
      </c>
      <c r="G9" s="107">
        <f>SUM(G6:G8)</f>
        <v>1</v>
      </c>
      <c r="H9" s="108"/>
      <c r="I9" s="29">
        <f>SUM(I6:I8)</f>
        <v>0</v>
      </c>
    </row>
    <row r="10" spans="1:9" s="28" customFormat="1" ht="15" customHeight="1" x14ac:dyDescent="0.2">
      <c r="A10" s="134" t="s">
        <v>150</v>
      </c>
      <c r="B10" s="135"/>
      <c r="C10" s="52">
        <f>COUNTIF($A$1:I9, "TOTAL")</f>
        <v>1</v>
      </c>
      <c r="D10" s="135" t="s">
        <v>146</v>
      </c>
      <c r="E10" s="135"/>
      <c r="F10" s="136">
        <f>CAJAS!$C$21</f>
        <v>33</v>
      </c>
      <c r="G10" s="136"/>
      <c r="H10" s="136"/>
      <c r="I10" s="137"/>
    </row>
    <row r="11" spans="1:9" s="28" customFormat="1" ht="10" customHeight="1" thickBot="1" x14ac:dyDescent="0.25">
      <c r="A11" s="138"/>
      <c r="B11" s="138"/>
      <c r="C11" s="138"/>
      <c r="D11" s="138"/>
      <c r="E11" s="138"/>
      <c r="F11" s="138"/>
      <c r="G11" s="138"/>
      <c r="H11" s="138"/>
      <c r="I11" s="138"/>
    </row>
    <row r="12" spans="1:9" s="28" customFormat="1" ht="10" customHeight="1" thickTop="1" x14ac:dyDescent="0.2">
      <c r="A12" s="115"/>
      <c r="B12" s="115"/>
      <c r="C12" s="115"/>
      <c r="D12" s="115"/>
      <c r="E12" s="115"/>
      <c r="F12" s="115"/>
      <c r="G12" s="115"/>
      <c r="H12" s="115"/>
      <c r="I12" s="115"/>
    </row>
    <row r="13" spans="1:9" s="28" customFormat="1" ht="16" x14ac:dyDescent="0.2">
      <c r="A13" s="116" t="s">
        <v>59</v>
      </c>
      <c r="B13" s="117"/>
      <c r="C13" s="117"/>
      <c r="D13" s="117"/>
      <c r="E13" s="117"/>
      <c r="F13" s="117"/>
      <c r="G13" s="117"/>
      <c r="H13" s="117"/>
      <c r="I13" s="118"/>
    </row>
    <row r="14" spans="1:9" s="28" customFormat="1" ht="16" x14ac:dyDescent="0.2">
      <c r="A14" s="119" t="s">
        <v>60</v>
      </c>
      <c r="B14" s="120"/>
      <c r="C14" s="120"/>
      <c r="D14" s="120"/>
      <c r="E14" s="120"/>
      <c r="F14" s="120"/>
      <c r="G14" s="120"/>
      <c r="H14" s="120"/>
      <c r="I14" s="121"/>
    </row>
    <row r="15" spans="1:9" s="28" customFormat="1" ht="18.75" customHeight="1" x14ac:dyDescent="0.2">
      <c r="A15" s="122" t="s">
        <v>61</v>
      </c>
      <c r="B15" s="123"/>
      <c r="C15" s="69">
        <v>3048</v>
      </c>
      <c r="D15" s="53" t="s">
        <v>244</v>
      </c>
      <c r="E15" s="124" t="str">
        <f>VLOOKUP(C15,'PUNTOS DE VENTA'!$A$1:$C$75,3)</f>
        <v>XA074</v>
      </c>
      <c r="F15" s="125"/>
      <c r="G15" s="70" t="s">
        <v>62</v>
      </c>
      <c r="H15" s="126">
        <f>'RESUMEN DE PUNTOS DE VENTA'!$C$4</f>
        <v>2900678609</v>
      </c>
      <c r="I15" s="127"/>
    </row>
    <row r="16" spans="1:9" s="28" customFormat="1" ht="18.75" customHeight="1" x14ac:dyDescent="0.2">
      <c r="A16" s="122" t="s">
        <v>63</v>
      </c>
      <c r="B16" s="123"/>
      <c r="C16" s="128" t="str">
        <f>UPPER(VLOOKUP(C15,'PUNTOS DE VENTA'!$A$1:$B$75,2))</f>
        <v>MAXI GUADALUPE</v>
      </c>
      <c r="D16" s="128"/>
      <c r="E16" s="128"/>
      <c r="F16" s="128"/>
      <c r="G16" s="128"/>
      <c r="H16" s="128"/>
      <c r="I16" s="129"/>
    </row>
    <row r="17" spans="1:9" s="28" customFormat="1" ht="22.5" customHeight="1" x14ac:dyDescent="0.2">
      <c r="A17" s="130" t="s">
        <v>7</v>
      </c>
      <c r="B17" s="131"/>
      <c r="C17" s="71" t="s">
        <v>28</v>
      </c>
      <c r="D17" s="72" t="s">
        <v>11</v>
      </c>
      <c r="E17" s="72" t="s">
        <v>8</v>
      </c>
      <c r="F17" s="73" t="s">
        <v>64</v>
      </c>
      <c r="G17" s="132" t="s">
        <v>65</v>
      </c>
      <c r="H17" s="133"/>
      <c r="I17" s="74" t="s">
        <v>66</v>
      </c>
    </row>
    <row r="18" spans="1:9" s="28" customFormat="1" x14ac:dyDescent="0.2">
      <c r="A18" s="32">
        <v>1</v>
      </c>
      <c r="B18" s="30">
        <f>IF(SUMIFS('RESUMEN DE PUNTOS DE VENTA'!C$7:C$145,'RESUMEN DE PUNTOS DE VENTA'!A$7:A$145,C15,'RESUMEN DE PUNTOS DE VENTA'!C$7:C$145,"2645516") = 2645516, 2645516, IF(SUMIFS('RESUMEN DE PUNTOS DE VENTA'!C$7:C$145,'RESUMEN DE PUNTOS DE VENTA'!A$7:A$145,C15,'RESUMEN DE PUNTOS DE VENTA'!C$7:C$145,"2647973") = 2647973, 2647973, ""))</f>
        <v>2645516</v>
      </c>
      <c r="C18" s="31" t="str">
        <f>IF(B18&lt;&gt;"",UPPER(VLOOKUP(B18,CATALOGO!$A$8:$E$36,3)),"")</f>
        <v>ALMOHADA Y FUNDA BEBE COLORES SURTIDOS DOCOMA</v>
      </c>
      <c r="D18" s="31">
        <f>IF(B18&lt;&gt;"",VLOOKUP(B18,CATALOGO!$A$8:$E$36,2),"")</f>
        <v>7441119600652</v>
      </c>
      <c r="E18" s="29">
        <f>IF(B18&lt;&gt;"",VLOOKUP(B18,CATALOGO!$A$8:$E$36,5),"")</f>
        <v>3</v>
      </c>
      <c r="F18" s="29">
        <f>IF(B18&lt;&gt;"",SUMIFS('RESUMEN DE PUNTOS DE VENTA'!G$7:G$145,'RESUMEN DE PUNTOS DE VENTA'!A$7:A$145,C15,'RESUMEN DE PUNTOS DE VENTA'!C$7:C$145,CROSSDOCKING!B18),"")</f>
        <v>1</v>
      </c>
      <c r="G18" s="107">
        <f>IF(B18&lt;&gt;"",SUMIFS('RESUMEN DE PUNTOS DE VENTA'!H$7:H$145,'RESUMEN DE PUNTOS DE VENTA'!A$7:A$145,C15,'RESUMEN DE PUNTOS DE VENTA'!C$7:C$145,CROSSDOCKING!B18),"")</f>
        <v>1</v>
      </c>
      <c r="H18" s="108" t="e">
        <f>IF(D18&lt;&gt;"",SUMIFS('RESUMEN DE PUNTOS DE VENTA'!#REF!,'RESUMEN DE PUNTOS DE VENTA'!C9:C145,E15,'RESUMEN DE PUNTOS DE VENTA'!E9:E145,CROSSDOCKING!D18),"")</f>
        <v>#REF!</v>
      </c>
      <c r="I18" s="29">
        <f>IF(B18&lt;&gt;"",F18-G18,"")</f>
        <v>0</v>
      </c>
    </row>
    <row r="19" spans="1:9" s="28" customFormat="1" x14ac:dyDescent="0.2">
      <c r="A19" s="32">
        <v>2</v>
      </c>
      <c r="B19" s="30">
        <f>IF(AND(B18&lt;&gt;"",B18&lt;&gt;2647973),IF(SUMIFS('RESUMEN DE PUNTOS DE VENTA'!C$7:C$145,'RESUMEN DE PUNTOS DE VENTA'!A$7:A$145,C15,'RESUMEN DE PUNTOS DE VENTA'!C$7:C$145,"2647973")=2647973,2647973,""), "")</f>
        <v>2647973</v>
      </c>
      <c r="C19" s="31" t="str">
        <f>IF(B19&lt;&gt;"",UPPER(VLOOKUP(B19,CATALOGO!$A$8:$E$36,3)),"")</f>
        <v>ALMOHADA BEBE SENCILLA ESTAMPADA</v>
      </c>
      <c r="D19" s="31">
        <f>IF(B19&lt;&gt;"",VLOOKUP(B19,CATALOGO!$A$8:$E$36,2),"")</f>
        <v>7441119600768</v>
      </c>
      <c r="E19" s="29">
        <f>IF(B19&lt;&gt;"",VLOOKUP(B19,CATALOGO!$A$8:$E$36,5),"")</f>
        <v>3</v>
      </c>
      <c r="F19" s="29">
        <f>IF(B19&lt;&gt;"",SUMIFS('RESUMEN DE PUNTOS DE VENTA'!G$7:G$145,'RESUMEN DE PUNTOS DE VENTA'!A$7:A$145,C15,'RESUMEN DE PUNTOS DE VENTA'!C$7:C$145,CROSSDOCKING!B19),"")</f>
        <v>1</v>
      </c>
      <c r="G19" s="107">
        <f>IF(B19&lt;&gt;"",SUMIFS('RESUMEN DE PUNTOS DE VENTA'!H$7:H$145,'RESUMEN DE PUNTOS DE VENTA'!A$7:A$145,C15,'RESUMEN DE PUNTOS DE VENTA'!C$7:C$145,CROSSDOCKING!B19),"")</f>
        <v>1</v>
      </c>
      <c r="H19" s="108" t="e">
        <f>IF(D19&lt;&gt;"",SUMIFS('RESUMEN DE PUNTOS DE VENTA'!#REF!,'RESUMEN DE PUNTOS DE VENTA'!C9:C145,E16,'RESUMEN DE PUNTOS DE VENTA'!E9:E145,CROSSDOCKING!D19),"")</f>
        <v>#REF!</v>
      </c>
      <c r="I19" s="29">
        <f t="shared" ref="I19:I20" si="1">IF(B19&lt;&gt;"",F19-G19,"")</f>
        <v>0</v>
      </c>
    </row>
    <row r="20" spans="1:9" s="28" customFormat="1" x14ac:dyDescent="0.2">
      <c r="A20" s="32">
        <v>3</v>
      </c>
      <c r="B20" s="30"/>
      <c r="C20" s="31" t="str">
        <f>IF(B20&lt;&gt;"",UPPER(VLOOKUP(B20,CATALOGO!$A$8:$E$36,3)),"")</f>
        <v/>
      </c>
      <c r="D20" s="31" t="str">
        <f>IF(B20&lt;&gt;"",VLOOKUP(B20,CATALOGO!$A$8:$E$36,2),"")</f>
        <v/>
      </c>
      <c r="E20" s="29" t="str">
        <f>IF(B20&lt;&gt;"",VLOOKUP(B20,CATALOGO!$A$8:$E$36,5),"")</f>
        <v/>
      </c>
      <c r="F20" s="29" t="str">
        <f>IF(B20&lt;&gt;"",SUMIFS('RESUMEN DE PUNTOS DE VENTA'!G$7:G$145,'RESUMEN DE PUNTOS DE VENTA'!A$7:A$145,C15,'RESUMEN DE PUNTOS DE VENTA'!C$7:C$145,CROSSDOCKING!B20),"")</f>
        <v/>
      </c>
      <c r="G20" s="107" t="str">
        <f>IF(B20&lt;&gt;"",SUMIFS('RESUMEN DE PUNTOS DE VENTA'!H$7:H$145,'RESUMEN DE PUNTOS DE VENTA'!A$7:A$145,C15,'RESUMEN DE PUNTOS DE VENTA'!C$7:C$145,CROSSDOCKING!B20),"")</f>
        <v/>
      </c>
      <c r="H20" s="108" t="str">
        <f>IF(D20&lt;&gt;"",SUMIFS('RESUMEN DE PUNTOS DE VENTA'!#REF!,'RESUMEN DE PUNTOS DE VENTA'!#REF!,E17,'RESUMEN DE PUNTOS DE VENTA'!#REF!,CROSSDOCKING!D20),"")</f>
        <v/>
      </c>
      <c r="I20" s="29" t="str">
        <f t="shared" si="1"/>
        <v/>
      </c>
    </row>
    <row r="21" spans="1:9" s="28" customFormat="1" x14ac:dyDescent="0.2">
      <c r="A21" s="109" t="s">
        <v>67</v>
      </c>
      <c r="B21" s="110"/>
      <c r="C21" s="110"/>
      <c r="D21" s="110"/>
      <c r="E21" s="111"/>
      <c r="F21" s="29">
        <f>SUM(F18:F20)</f>
        <v>2</v>
      </c>
      <c r="G21" s="107">
        <f>SUM(G18:G20)</f>
        <v>2</v>
      </c>
      <c r="H21" s="108"/>
      <c r="I21" s="29">
        <f>SUM(I18:I20)</f>
        <v>0</v>
      </c>
    </row>
    <row r="22" spans="1:9" s="28" customFormat="1" ht="15" customHeight="1" x14ac:dyDescent="0.2">
      <c r="A22" s="134" t="s">
        <v>150</v>
      </c>
      <c r="B22" s="135"/>
      <c r="C22" s="52">
        <f>COUNTIF($A$1:I21, "TOTAL")</f>
        <v>2</v>
      </c>
      <c r="D22" s="135" t="s">
        <v>146</v>
      </c>
      <c r="E22" s="135"/>
      <c r="F22" s="136">
        <f>CAJAS!$C$21</f>
        <v>33</v>
      </c>
      <c r="G22" s="136"/>
      <c r="H22" s="136"/>
      <c r="I22" s="137"/>
    </row>
    <row r="23" spans="1:9" s="28" customFormat="1" ht="10" customHeight="1" thickBot="1" x14ac:dyDescent="0.25">
      <c r="A23" s="138"/>
      <c r="B23" s="138"/>
      <c r="C23" s="138"/>
      <c r="D23" s="138"/>
      <c r="E23" s="138"/>
      <c r="F23" s="138"/>
      <c r="G23" s="138"/>
      <c r="H23" s="138"/>
      <c r="I23" s="138"/>
    </row>
    <row r="24" spans="1:9" s="28" customFormat="1" ht="10" customHeight="1" thickTop="1" x14ac:dyDescent="0.2">
      <c r="A24" s="115"/>
      <c r="B24" s="115"/>
      <c r="C24" s="115"/>
      <c r="D24" s="115"/>
      <c r="E24" s="115"/>
      <c r="F24" s="115"/>
      <c r="G24" s="115"/>
      <c r="H24" s="115"/>
      <c r="I24" s="115"/>
    </row>
    <row r="25" spans="1:9" s="28" customFormat="1" ht="16" x14ac:dyDescent="0.2">
      <c r="A25" s="116" t="s">
        <v>59</v>
      </c>
      <c r="B25" s="117"/>
      <c r="C25" s="117"/>
      <c r="D25" s="117"/>
      <c r="E25" s="117"/>
      <c r="F25" s="117"/>
      <c r="G25" s="117"/>
      <c r="H25" s="117"/>
      <c r="I25" s="118"/>
    </row>
    <row r="26" spans="1:9" s="28" customFormat="1" ht="16" x14ac:dyDescent="0.2">
      <c r="A26" s="119" t="s">
        <v>60</v>
      </c>
      <c r="B26" s="120"/>
      <c r="C26" s="120"/>
      <c r="D26" s="120"/>
      <c r="E26" s="120"/>
      <c r="F26" s="120"/>
      <c r="G26" s="120"/>
      <c r="H26" s="120"/>
      <c r="I26" s="121"/>
    </row>
    <row r="27" spans="1:9" s="28" customFormat="1" ht="18.75" customHeight="1" x14ac:dyDescent="0.2">
      <c r="A27" s="122" t="s">
        <v>61</v>
      </c>
      <c r="B27" s="123"/>
      <c r="C27" s="69">
        <v>3112</v>
      </c>
      <c r="D27" s="53" t="s">
        <v>244</v>
      </c>
      <c r="E27" s="124" t="str">
        <f>VLOOKUP(C27,'PUNTOS DE VENTA'!$A$1:$C$75,3)</f>
        <v>XA241</v>
      </c>
      <c r="F27" s="125"/>
      <c r="G27" s="70" t="s">
        <v>62</v>
      </c>
      <c r="H27" s="126">
        <f>'RESUMEN DE PUNTOS DE VENTA'!$C$4</f>
        <v>2900678609</v>
      </c>
      <c r="I27" s="127"/>
    </row>
    <row r="28" spans="1:9" s="28" customFormat="1" ht="18.75" customHeight="1" x14ac:dyDescent="0.2">
      <c r="A28" s="122" t="s">
        <v>63</v>
      </c>
      <c r="B28" s="123"/>
      <c r="C28" s="128" t="str">
        <f>UPPER(VLOOKUP(C27,'PUNTOS DE VENTA'!$A$1:$B$75,2))</f>
        <v>MAXI PACÍFICA</v>
      </c>
      <c r="D28" s="128"/>
      <c r="E28" s="128"/>
      <c r="F28" s="128"/>
      <c r="G28" s="128"/>
      <c r="H28" s="128"/>
      <c r="I28" s="129"/>
    </row>
    <row r="29" spans="1:9" s="28" customFormat="1" ht="22.5" customHeight="1" x14ac:dyDescent="0.2">
      <c r="A29" s="130" t="s">
        <v>7</v>
      </c>
      <c r="B29" s="131"/>
      <c r="C29" s="71" t="s">
        <v>28</v>
      </c>
      <c r="D29" s="72" t="s">
        <v>11</v>
      </c>
      <c r="E29" s="72" t="s">
        <v>8</v>
      </c>
      <c r="F29" s="73" t="s">
        <v>64</v>
      </c>
      <c r="G29" s="132" t="s">
        <v>65</v>
      </c>
      <c r="H29" s="133"/>
      <c r="I29" s="74" t="s">
        <v>66</v>
      </c>
    </row>
    <row r="30" spans="1:9" s="28" customFormat="1" x14ac:dyDescent="0.2">
      <c r="A30" s="32">
        <v>1</v>
      </c>
      <c r="B30" s="30">
        <f>IF(SUMIFS('RESUMEN DE PUNTOS DE VENTA'!C$7:C$145,'RESUMEN DE PUNTOS DE VENTA'!A$7:A$145,C27,'RESUMEN DE PUNTOS DE VENTA'!C$7:C$145,"2645516") = 2645516, 2645516, IF(SUMIFS('RESUMEN DE PUNTOS DE VENTA'!C$7:C$145,'RESUMEN DE PUNTOS DE VENTA'!A$7:A$145,C27,'RESUMEN DE PUNTOS DE VENTA'!C$7:C$145,"2647973") = 2647973, 2647973, ""))</f>
        <v>2645516</v>
      </c>
      <c r="C30" s="31" t="str">
        <f>IF(B30&lt;&gt;"",UPPER(VLOOKUP(B30,CATALOGO!$A$8:$E$36,3)),"")</f>
        <v>ALMOHADA Y FUNDA BEBE COLORES SURTIDOS DOCOMA</v>
      </c>
      <c r="D30" s="31">
        <f>IF(B30&lt;&gt;"",VLOOKUP(B30,CATALOGO!$A$8:$E$36,2),"")</f>
        <v>7441119600652</v>
      </c>
      <c r="E30" s="29">
        <f>IF(B30&lt;&gt;"",VLOOKUP(B30,CATALOGO!$A$8:$E$36,5),"")</f>
        <v>3</v>
      </c>
      <c r="F30" s="29">
        <f>IF(B30&lt;&gt;"",SUMIFS('RESUMEN DE PUNTOS DE VENTA'!G$7:G$145,'RESUMEN DE PUNTOS DE VENTA'!A$7:A$145,C27,'RESUMEN DE PUNTOS DE VENTA'!C$7:C$145,CROSSDOCKING!B30),"")</f>
        <v>2</v>
      </c>
      <c r="G30" s="107">
        <f>IF(B30&lt;&gt;"",SUMIFS('RESUMEN DE PUNTOS DE VENTA'!H$7:H$145,'RESUMEN DE PUNTOS DE VENTA'!A$7:A$145,C27,'RESUMEN DE PUNTOS DE VENTA'!C$7:C$145,CROSSDOCKING!B30),"")</f>
        <v>1</v>
      </c>
      <c r="H30" s="108" t="e">
        <f>IF(D30&lt;&gt;"",SUMIFS('RESUMEN DE PUNTOS DE VENTA'!#REF!,'RESUMEN DE PUNTOS DE VENTA'!#REF!,E27,'RESUMEN DE PUNTOS DE VENTA'!#REF!,CROSSDOCKING!D30),"")</f>
        <v>#REF!</v>
      </c>
      <c r="I30" s="29">
        <f>IF(B30&lt;&gt;"",F30-G30,"")</f>
        <v>1</v>
      </c>
    </row>
    <row r="31" spans="1:9" s="28" customFormat="1" x14ac:dyDescent="0.2">
      <c r="A31" s="32">
        <v>2</v>
      </c>
      <c r="B31" s="30">
        <f>IF(AND(B30&lt;&gt;"",B30&lt;&gt;2647973),IF(SUMIFS('RESUMEN DE PUNTOS DE VENTA'!C$7:C$145,'RESUMEN DE PUNTOS DE VENTA'!A$7:A$145,C27,'RESUMEN DE PUNTOS DE VENTA'!C$7:C$145,"2647973")=2647973,2647973,""), "")</f>
        <v>2647973</v>
      </c>
      <c r="C31" s="31" t="str">
        <f>IF(B31&lt;&gt;"",UPPER(VLOOKUP(B31,CATALOGO!$A$8:$E$36,3)),"")</f>
        <v>ALMOHADA BEBE SENCILLA ESTAMPADA</v>
      </c>
      <c r="D31" s="31">
        <f>IF(B31&lt;&gt;"",VLOOKUP(B31,CATALOGO!$A$8:$E$36,2),"")</f>
        <v>7441119600768</v>
      </c>
      <c r="E31" s="29">
        <f>IF(B31&lt;&gt;"",VLOOKUP(B31,CATALOGO!$A$8:$E$36,5),"")</f>
        <v>3</v>
      </c>
      <c r="F31" s="29">
        <f>IF(B31&lt;&gt;"",SUMIFS('RESUMEN DE PUNTOS DE VENTA'!G$7:G$145,'RESUMEN DE PUNTOS DE VENTA'!A$7:A$145,C27,'RESUMEN DE PUNTOS DE VENTA'!C$7:C$145,CROSSDOCKING!B31),"")</f>
        <v>4</v>
      </c>
      <c r="G31" s="107">
        <f>IF(B31&lt;&gt;"",SUMIFS('RESUMEN DE PUNTOS DE VENTA'!H$7:H$145,'RESUMEN DE PUNTOS DE VENTA'!A$7:A$145,C27,'RESUMEN DE PUNTOS DE VENTA'!C$7:C$145,CROSSDOCKING!B31),"")</f>
        <v>4</v>
      </c>
      <c r="H31" s="108" t="e">
        <f>IF(D31&lt;&gt;"",SUMIFS('RESUMEN DE PUNTOS DE VENTA'!#REF!,'RESUMEN DE PUNTOS DE VENTA'!#REF!,E28,'RESUMEN DE PUNTOS DE VENTA'!#REF!,CROSSDOCKING!D31),"")</f>
        <v>#REF!</v>
      </c>
      <c r="I31" s="29">
        <f t="shared" ref="I31:I32" si="2">IF(B31&lt;&gt;"",F31-G31,"")</f>
        <v>0</v>
      </c>
    </row>
    <row r="32" spans="1:9" s="28" customFormat="1" x14ac:dyDescent="0.2">
      <c r="A32" s="32">
        <v>3</v>
      </c>
      <c r="B32" s="30"/>
      <c r="C32" s="31" t="str">
        <f>IF(B32&lt;&gt;"",UPPER(VLOOKUP(B32,CATALOGO!$A$8:$E$36,3)),"")</f>
        <v/>
      </c>
      <c r="D32" s="31" t="str">
        <f>IF(B32&lt;&gt;"",VLOOKUP(B32,CATALOGO!$A$8:$E$36,2),"")</f>
        <v/>
      </c>
      <c r="E32" s="29" t="str">
        <f>IF(B32&lt;&gt;"",VLOOKUP(B32,CATALOGO!$A$8:$E$36,5),"")</f>
        <v/>
      </c>
      <c r="F32" s="29" t="str">
        <f>IF(B32&lt;&gt;"",SUMIFS('RESUMEN DE PUNTOS DE VENTA'!G$7:G$145,'RESUMEN DE PUNTOS DE VENTA'!A$7:A$145,C27,'RESUMEN DE PUNTOS DE VENTA'!C$7:C$145,CROSSDOCKING!B32),"")</f>
        <v/>
      </c>
      <c r="G32" s="107" t="str">
        <f>IF(B32&lt;&gt;"",SUMIFS('RESUMEN DE PUNTOS DE VENTA'!H$7:H$145,'RESUMEN DE PUNTOS DE VENTA'!A$7:A$145,C27,'RESUMEN DE PUNTOS DE VENTA'!C$7:C$145,CROSSDOCKING!B32),"")</f>
        <v/>
      </c>
      <c r="H32" s="108" t="str">
        <f>IF(D32&lt;&gt;"",SUMIFS('RESUMEN DE PUNTOS DE VENTA'!#REF!,'RESUMEN DE PUNTOS DE VENTA'!#REF!,E29,'RESUMEN DE PUNTOS DE VENTA'!#REF!,CROSSDOCKING!D32),"")</f>
        <v/>
      </c>
      <c r="I32" s="29" t="str">
        <f t="shared" si="2"/>
        <v/>
      </c>
    </row>
    <row r="33" spans="1:9" s="28" customFormat="1" ht="15" customHeight="1" x14ac:dyDescent="0.2">
      <c r="A33" s="109" t="s">
        <v>67</v>
      </c>
      <c r="B33" s="110"/>
      <c r="C33" s="110"/>
      <c r="D33" s="110"/>
      <c r="E33" s="111"/>
      <c r="F33" s="29">
        <f>SUM(F30:F32)</f>
        <v>6</v>
      </c>
      <c r="G33" s="107">
        <f>SUM(G30:G32)</f>
        <v>5</v>
      </c>
      <c r="H33" s="108"/>
      <c r="I33" s="29">
        <f>SUM(I30:I32)</f>
        <v>1</v>
      </c>
    </row>
    <row r="34" spans="1:9" s="28" customFormat="1" ht="15" customHeight="1" x14ac:dyDescent="0.2">
      <c r="A34" s="134" t="s">
        <v>150</v>
      </c>
      <c r="B34" s="135"/>
      <c r="C34" s="52">
        <f>COUNTIF($A$1:I33, "TOTAL")</f>
        <v>3</v>
      </c>
      <c r="D34" s="135" t="s">
        <v>146</v>
      </c>
      <c r="E34" s="135"/>
      <c r="F34" s="136">
        <f>CAJAS!$C$21</f>
        <v>33</v>
      </c>
      <c r="G34" s="136"/>
      <c r="H34" s="136"/>
      <c r="I34" s="137"/>
    </row>
    <row r="35" spans="1:9" s="28" customFormat="1" ht="10" customHeight="1" thickBot="1" x14ac:dyDescent="0.25">
      <c r="A35" s="138"/>
      <c r="B35" s="138"/>
      <c r="C35" s="138"/>
      <c r="D35" s="138"/>
      <c r="E35" s="138"/>
      <c r="F35" s="138"/>
      <c r="G35" s="138"/>
      <c r="H35" s="138"/>
      <c r="I35" s="138"/>
    </row>
    <row r="36" spans="1:9" s="28" customFormat="1" ht="10" customHeight="1" thickTop="1" x14ac:dyDescent="0.2">
      <c r="A36" s="115"/>
      <c r="B36" s="115"/>
      <c r="C36" s="115"/>
      <c r="D36" s="115"/>
      <c r="E36" s="115"/>
      <c r="F36" s="115"/>
      <c r="G36" s="115"/>
      <c r="H36" s="115"/>
      <c r="I36" s="115"/>
    </row>
    <row r="37" spans="1:9" s="28" customFormat="1" ht="16" x14ac:dyDescent="0.2">
      <c r="A37" s="116" t="s">
        <v>59</v>
      </c>
      <c r="B37" s="117"/>
      <c r="C37" s="117"/>
      <c r="D37" s="117"/>
      <c r="E37" s="117"/>
      <c r="F37" s="117"/>
      <c r="G37" s="117"/>
      <c r="H37" s="117"/>
      <c r="I37" s="118"/>
    </row>
    <row r="38" spans="1:9" s="28" customFormat="1" ht="16" x14ac:dyDescent="0.2">
      <c r="A38" s="119" t="s">
        <v>60</v>
      </c>
      <c r="B38" s="120"/>
      <c r="C38" s="120"/>
      <c r="D38" s="120"/>
      <c r="E38" s="120"/>
      <c r="F38" s="120"/>
      <c r="G38" s="120"/>
      <c r="H38" s="120"/>
      <c r="I38" s="121"/>
    </row>
    <row r="39" spans="1:9" s="28" customFormat="1" ht="18.75" customHeight="1" x14ac:dyDescent="0.2">
      <c r="A39" s="122" t="s">
        <v>61</v>
      </c>
      <c r="B39" s="123"/>
      <c r="C39" s="69">
        <v>3700</v>
      </c>
      <c r="D39" s="53" t="s">
        <v>244</v>
      </c>
      <c r="E39" s="124" t="str">
        <f>VLOOKUP(C39,'PUNTOS DE VENTA'!$A$1:$C$75,3)</f>
        <v>XA045</v>
      </c>
      <c r="F39" s="125"/>
      <c r="G39" s="70" t="s">
        <v>62</v>
      </c>
      <c r="H39" s="126">
        <f>'RESUMEN DE PUNTOS DE VENTA'!$C$4</f>
        <v>2900678609</v>
      </c>
      <c r="I39" s="127"/>
    </row>
    <row r="40" spans="1:9" s="28" customFormat="1" ht="18.75" customHeight="1" x14ac:dyDescent="0.2">
      <c r="A40" s="122" t="s">
        <v>63</v>
      </c>
      <c r="B40" s="123"/>
      <c r="C40" s="128" t="str">
        <f>UPPER(VLOOKUP(C39,'PUNTOS DE VENTA'!$A$1:$B$75,2))</f>
        <v>WALMART SAN SEBASTIAN</v>
      </c>
      <c r="D40" s="128"/>
      <c r="E40" s="128"/>
      <c r="F40" s="128"/>
      <c r="G40" s="128"/>
      <c r="H40" s="128"/>
      <c r="I40" s="129"/>
    </row>
    <row r="41" spans="1:9" s="28" customFormat="1" ht="22.5" customHeight="1" x14ac:dyDescent="0.2">
      <c r="A41" s="130" t="s">
        <v>7</v>
      </c>
      <c r="B41" s="131"/>
      <c r="C41" s="71" t="s">
        <v>28</v>
      </c>
      <c r="D41" s="72" t="s">
        <v>11</v>
      </c>
      <c r="E41" s="72" t="s">
        <v>8</v>
      </c>
      <c r="F41" s="73" t="s">
        <v>64</v>
      </c>
      <c r="G41" s="132" t="s">
        <v>65</v>
      </c>
      <c r="H41" s="133"/>
      <c r="I41" s="74" t="s">
        <v>66</v>
      </c>
    </row>
    <row r="42" spans="1:9" s="28" customFormat="1" x14ac:dyDescent="0.2">
      <c r="A42" s="32">
        <v>1</v>
      </c>
      <c r="B42" s="30">
        <f>IF(SUMIFS('RESUMEN DE PUNTOS DE VENTA'!C$7:C$145,'RESUMEN DE PUNTOS DE VENTA'!A$7:A$145,C39,'RESUMEN DE PUNTOS DE VENTA'!C$7:C$145,"2645516") = 2645516, 2645516, IF(SUMIFS('RESUMEN DE PUNTOS DE VENTA'!C$7:C$145,'RESUMEN DE PUNTOS DE VENTA'!A$7:A$145,C39,'RESUMEN DE PUNTOS DE VENTA'!C$7:C$145,"2647973") = 2647973, 2647973, ""))</f>
        <v>2645516</v>
      </c>
      <c r="C42" s="31" t="str">
        <f>IF(B42&lt;&gt;"",UPPER(VLOOKUP(B42,CATALOGO!$A$8:$E$36,3)),"")</f>
        <v>ALMOHADA Y FUNDA BEBE COLORES SURTIDOS DOCOMA</v>
      </c>
      <c r="D42" s="31">
        <f>IF(B42&lt;&gt;"",VLOOKUP(B42,CATALOGO!$A$8:$E$36,2),"")</f>
        <v>7441119600652</v>
      </c>
      <c r="E42" s="29">
        <f>IF(B42&lt;&gt;"",VLOOKUP(B42,CATALOGO!$A$8:$E$36,5),"")</f>
        <v>3</v>
      </c>
      <c r="F42" s="29">
        <f>IF(B42&lt;&gt;"",SUMIFS('RESUMEN DE PUNTOS DE VENTA'!G$7:G$145,'RESUMEN DE PUNTOS DE VENTA'!A$7:A$145,C39,'RESUMEN DE PUNTOS DE VENTA'!C$7:C$145,CROSSDOCKING!B42),"")</f>
        <v>1</v>
      </c>
      <c r="G42" s="107">
        <f>IF(B42&lt;&gt;"",SUMIFS('RESUMEN DE PUNTOS DE VENTA'!H$7:H$145,'RESUMEN DE PUNTOS DE VENTA'!A$7:A$145,C39,'RESUMEN DE PUNTOS DE VENTA'!C$7:C$145,CROSSDOCKING!B42),"")</f>
        <v>1</v>
      </c>
      <c r="H42" s="108" t="e">
        <f>IF(D42&lt;&gt;"",SUMIFS('RESUMEN DE PUNTOS DE VENTA'!#REF!,'RESUMEN DE PUNTOS DE VENTA'!#REF!,E39,'RESUMEN DE PUNTOS DE VENTA'!#REF!,CROSSDOCKING!D42),"")</f>
        <v>#REF!</v>
      </c>
      <c r="I42" s="29">
        <f>IF(B42&lt;&gt;"",F42-G42,"")</f>
        <v>0</v>
      </c>
    </row>
    <row r="43" spans="1:9" s="28" customFormat="1" x14ac:dyDescent="0.2">
      <c r="A43" s="32">
        <v>2</v>
      </c>
      <c r="B43" s="30" t="str">
        <f>IF(AND(B42&lt;&gt;"",B42&lt;&gt;2647973),IF(SUMIFS('RESUMEN DE PUNTOS DE VENTA'!C$7:C$145,'RESUMEN DE PUNTOS DE VENTA'!A$7:A$145,C39,'RESUMEN DE PUNTOS DE VENTA'!C$7:C$145,"2647973")=2647973,2647973,""), "")</f>
        <v/>
      </c>
      <c r="C43" s="31" t="str">
        <f>IF(B43&lt;&gt;"",UPPER(VLOOKUP(B43,CATALOGO!$A$8:$E$36,3)),"")</f>
        <v/>
      </c>
      <c r="D43" s="31" t="str">
        <f>IF(B43&lt;&gt;"",VLOOKUP(B43,CATALOGO!$A$8:$E$36,2),"")</f>
        <v/>
      </c>
      <c r="E43" s="29" t="str">
        <f>IF(B43&lt;&gt;"",VLOOKUP(B43,CATALOGO!$A$8:$E$36,5),"")</f>
        <v/>
      </c>
      <c r="F43" s="29" t="str">
        <f>IF(B43&lt;&gt;"",SUMIFS('RESUMEN DE PUNTOS DE VENTA'!G$7:G$145,'RESUMEN DE PUNTOS DE VENTA'!A$7:A$145,C39,'RESUMEN DE PUNTOS DE VENTA'!C$7:C$145,CROSSDOCKING!B43),"")</f>
        <v/>
      </c>
      <c r="G43" s="107" t="str">
        <f>IF(B43&lt;&gt;"",SUMIFS('RESUMEN DE PUNTOS DE VENTA'!H$7:H$145,'RESUMEN DE PUNTOS DE VENTA'!A$7:A$145,C39,'RESUMEN DE PUNTOS DE VENTA'!C$7:C$145,CROSSDOCKING!B43),"")</f>
        <v/>
      </c>
      <c r="H43" s="108" t="str">
        <f>IF(D43&lt;&gt;"",SUMIFS('RESUMEN DE PUNTOS DE VENTA'!#REF!,'RESUMEN DE PUNTOS DE VENTA'!#REF!,E40,'RESUMEN DE PUNTOS DE VENTA'!#REF!,CROSSDOCKING!D43),"")</f>
        <v/>
      </c>
      <c r="I43" s="29" t="str">
        <f t="shared" ref="I43:I44" si="3">IF(B43&lt;&gt;"",F43-G43,"")</f>
        <v/>
      </c>
    </row>
    <row r="44" spans="1:9" s="28" customFormat="1" x14ac:dyDescent="0.2">
      <c r="A44" s="32">
        <v>3</v>
      </c>
      <c r="B44" s="30"/>
      <c r="C44" s="31" t="str">
        <f>IF(B44&lt;&gt;"",UPPER(VLOOKUP(B44,CATALOGO!$A$8:$E$36,3)),"")</f>
        <v/>
      </c>
      <c r="D44" s="31" t="str">
        <f>IF(B44&lt;&gt;"",VLOOKUP(B44,CATALOGO!$A$8:$E$36,2),"")</f>
        <v/>
      </c>
      <c r="E44" s="29" t="str">
        <f>IF(B44&lt;&gt;"",VLOOKUP(B44,CATALOGO!$A$8:$E$36,5),"")</f>
        <v/>
      </c>
      <c r="F44" s="29" t="str">
        <f>IF(B44&lt;&gt;"",SUMIFS('RESUMEN DE PUNTOS DE VENTA'!G$7:G$145,'RESUMEN DE PUNTOS DE VENTA'!A$7:A$145,C39,'RESUMEN DE PUNTOS DE VENTA'!C$7:C$145,CROSSDOCKING!B44),"")</f>
        <v/>
      </c>
      <c r="G44" s="107" t="str">
        <f>IF(B44&lt;&gt;"",SUMIFS('RESUMEN DE PUNTOS DE VENTA'!H$7:H$145,'RESUMEN DE PUNTOS DE VENTA'!A$7:A$145,C39,'RESUMEN DE PUNTOS DE VENTA'!C$7:C$145,CROSSDOCKING!B44),"")</f>
        <v/>
      </c>
      <c r="H44" s="108" t="str">
        <f>IF(D44&lt;&gt;"",SUMIFS('RESUMEN DE PUNTOS DE VENTA'!#REF!,'RESUMEN DE PUNTOS DE VENTA'!#REF!,E41,'RESUMEN DE PUNTOS DE VENTA'!#REF!,CROSSDOCKING!D44),"")</f>
        <v/>
      </c>
      <c r="I44" s="29" t="str">
        <f t="shared" si="3"/>
        <v/>
      </c>
    </row>
    <row r="45" spans="1:9" s="28" customFormat="1" ht="15" customHeight="1" x14ac:dyDescent="0.2">
      <c r="A45" s="109" t="s">
        <v>67</v>
      </c>
      <c r="B45" s="110"/>
      <c r="C45" s="110"/>
      <c r="D45" s="110"/>
      <c r="E45" s="111"/>
      <c r="F45" s="29">
        <f>SUM(F42:F44)</f>
        <v>1</v>
      </c>
      <c r="G45" s="107">
        <f>SUM(G42:G44)</f>
        <v>1</v>
      </c>
      <c r="H45" s="108"/>
      <c r="I45" s="29">
        <f>SUM(I42:I44)</f>
        <v>0</v>
      </c>
    </row>
    <row r="46" spans="1:9" s="28" customFormat="1" ht="15" customHeight="1" x14ac:dyDescent="0.2">
      <c r="A46" s="134" t="s">
        <v>150</v>
      </c>
      <c r="B46" s="135"/>
      <c r="C46" s="52">
        <f>COUNTIF($A$1:I45, "TOTAL")</f>
        <v>4</v>
      </c>
      <c r="D46" s="135" t="s">
        <v>146</v>
      </c>
      <c r="E46" s="135"/>
      <c r="F46" s="136">
        <f>CAJAS!$C$21</f>
        <v>33</v>
      </c>
      <c r="G46" s="136"/>
      <c r="H46" s="136"/>
      <c r="I46" s="137"/>
    </row>
    <row r="47" spans="1:9" s="28" customFormat="1" ht="10" customHeight="1" thickBot="1" x14ac:dyDescent="0.25">
      <c r="A47" s="138"/>
      <c r="B47" s="138"/>
      <c r="C47" s="138"/>
      <c r="D47" s="138"/>
      <c r="E47" s="138"/>
      <c r="F47" s="138"/>
      <c r="G47" s="138"/>
      <c r="H47" s="138"/>
      <c r="I47" s="138"/>
    </row>
    <row r="48" spans="1:9" s="28" customFormat="1" ht="10" customHeight="1" thickTop="1" x14ac:dyDescent="0.2">
      <c r="A48" s="115"/>
      <c r="B48" s="115"/>
      <c r="C48" s="115"/>
      <c r="D48" s="115"/>
      <c r="E48" s="115"/>
      <c r="F48" s="115"/>
      <c r="G48" s="115"/>
      <c r="H48" s="115"/>
      <c r="I48" s="115"/>
    </row>
    <row r="49" spans="1:9" s="28" customFormat="1" ht="16" x14ac:dyDescent="0.2">
      <c r="A49" s="116" t="s">
        <v>59</v>
      </c>
      <c r="B49" s="117"/>
      <c r="C49" s="117"/>
      <c r="D49" s="117"/>
      <c r="E49" s="117"/>
      <c r="F49" s="117"/>
      <c r="G49" s="117"/>
      <c r="H49" s="117"/>
      <c r="I49" s="118"/>
    </row>
    <row r="50" spans="1:9" s="28" customFormat="1" ht="16" x14ac:dyDescent="0.2">
      <c r="A50" s="119" t="s">
        <v>60</v>
      </c>
      <c r="B50" s="120"/>
      <c r="C50" s="120"/>
      <c r="D50" s="120"/>
      <c r="E50" s="120"/>
      <c r="F50" s="120"/>
      <c r="G50" s="120"/>
      <c r="H50" s="120"/>
      <c r="I50" s="121"/>
    </row>
    <row r="51" spans="1:9" s="28" customFormat="1" ht="18.75" customHeight="1" x14ac:dyDescent="0.2">
      <c r="A51" s="122" t="s">
        <v>61</v>
      </c>
      <c r="B51" s="123"/>
      <c r="C51" s="69">
        <v>3701</v>
      </c>
      <c r="D51" s="53" t="s">
        <v>244</v>
      </c>
      <c r="E51" s="124" t="str">
        <f>VLOOKUP(C51,'PUNTOS DE VENTA'!$A$1:$C$75,3)</f>
        <v>XA082</v>
      </c>
      <c r="F51" s="125"/>
      <c r="G51" s="70" t="s">
        <v>62</v>
      </c>
      <c r="H51" s="126">
        <f>'RESUMEN DE PUNTOS DE VENTA'!$C$4</f>
        <v>2900678609</v>
      </c>
      <c r="I51" s="127"/>
    </row>
    <row r="52" spans="1:9" s="28" customFormat="1" ht="18.75" customHeight="1" x14ac:dyDescent="0.2">
      <c r="A52" s="122" t="s">
        <v>63</v>
      </c>
      <c r="B52" s="123"/>
      <c r="C52" s="128" t="str">
        <f>UPPER(VLOOKUP(C51,'PUNTOS DE VENTA'!$A$1:$B$75,2))</f>
        <v>WALMART HEREDIA</v>
      </c>
      <c r="D52" s="128"/>
      <c r="E52" s="128"/>
      <c r="F52" s="128"/>
      <c r="G52" s="128"/>
      <c r="H52" s="128"/>
      <c r="I52" s="129"/>
    </row>
    <row r="53" spans="1:9" s="28" customFormat="1" ht="22.5" customHeight="1" x14ac:dyDescent="0.2">
      <c r="A53" s="130" t="s">
        <v>7</v>
      </c>
      <c r="B53" s="131"/>
      <c r="C53" s="71" t="s">
        <v>28</v>
      </c>
      <c r="D53" s="72" t="s">
        <v>11</v>
      </c>
      <c r="E53" s="72" t="s">
        <v>8</v>
      </c>
      <c r="F53" s="73" t="s">
        <v>64</v>
      </c>
      <c r="G53" s="132" t="s">
        <v>65</v>
      </c>
      <c r="H53" s="133"/>
      <c r="I53" s="74" t="s">
        <v>66</v>
      </c>
    </row>
    <row r="54" spans="1:9" s="28" customFormat="1" x14ac:dyDescent="0.2">
      <c r="A54" s="32">
        <v>1</v>
      </c>
      <c r="B54" s="30">
        <f>IF(SUMIFS('RESUMEN DE PUNTOS DE VENTA'!C$7:C$145,'RESUMEN DE PUNTOS DE VENTA'!A$7:A$145,C51,'RESUMEN DE PUNTOS DE VENTA'!C$7:C$145,"2645516") = 2645516, 2645516, IF(SUMIFS('RESUMEN DE PUNTOS DE VENTA'!C$7:C$145,'RESUMEN DE PUNTOS DE VENTA'!A$7:A$145,C51,'RESUMEN DE PUNTOS DE VENTA'!C$7:C$145,"2647973") = 2647973, 2647973, ""))</f>
        <v>2645516</v>
      </c>
      <c r="C54" s="31" t="str">
        <f>IF(B54&lt;&gt;"",UPPER(VLOOKUP(B54,CATALOGO!$A$8:$E$36,3)),"")</f>
        <v>ALMOHADA Y FUNDA BEBE COLORES SURTIDOS DOCOMA</v>
      </c>
      <c r="D54" s="31">
        <f>IF(B54&lt;&gt;"",VLOOKUP(B54,CATALOGO!$A$8:$E$36,2),"")</f>
        <v>7441119600652</v>
      </c>
      <c r="E54" s="29">
        <f>IF(B54&lt;&gt;"",VLOOKUP(B54,CATALOGO!$A$8:$E$36,5),"")</f>
        <v>3</v>
      </c>
      <c r="F54" s="29">
        <f>IF(B54&lt;&gt;"",SUMIFS('RESUMEN DE PUNTOS DE VENTA'!G$7:G$145,'RESUMEN DE PUNTOS DE VENTA'!A$7:A$145,C51,'RESUMEN DE PUNTOS DE VENTA'!C$7:C$145,CROSSDOCKING!B54),"")</f>
        <v>1</v>
      </c>
      <c r="G54" s="107">
        <f>IF(B54&lt;&gt;"",SUMIFS('RESUMEN DE PUNTOS DE VENTA'!H$7:H$145,'RESUMEN DE PUNTOS DE VENTA'!A$7:A$145,C51,'RESUMEN DE PUNTOS DE VENTA'!C$7:C$145,CROSSDOCKING!B54),"")</f>
        <v>1</v>
      </c>
      <c r="H54" s="108" t="e">
        <f>IF(D54&lt;&gt;"",SUMIFS('RESUMEN DE PUNTOS DE VENTA'!#REF!,'RESUMEN DE PUNTOS DE VENTA'!#REF!,E51,'RESUMEN DE PUNTOS DE VENTA'!#REF!,CROSSDOCKING!D54),"")</f>
        <v>#REF!</v>
      </c>
      <c r="I54" s="29">
        <f>IF(B54&lt;&gt;"",F54-G54,"")</f>
        <v>0</v>
      </c>
    </row>
    <row r="55" spans="1:9" s="28" customFormat="1" x14ac:dyDescent="0.2">
      <c r="A55" s="32">
        <v>2</v>
      </c>
      <c r="B55" s="30" t="str">
        <f>IF(AND(B54&lt;&gt;"",B54&lt;&gt;2647973),IF(SUMIFS('RESUMEN DE PUNTOS DE VENTA'!C$7:C$145,'RESUMEN DE PUNTOS DE VENTA'!A$7:A$145,C51,'RESUMEN DE PUNTOS DE VENTA'!C$7:C$145,"2647973")=2647973,2647973,""), "")</f>
        <v/>
      </c>
      <c r="C55" s="31" t="str">
        <f>IF(B55&lt;&gt;"",UPPER(VLOOKUP(B55,CATALOGO!$A$8:$E$36,3)),"")</f>
        <v/>
      </c>
      <c r="D55" s="31" t="str">
        <f>IF(B55&lt;&gt;"",VLOOKUP(B55,CATALOGO!$A$8:$E$36,2),"")</f>
        <v/>
      </c>
      <c r="E55" s="29" t="str">
        <f>IF(B55&lt;&gt;"",VLOOKUP(B55,CATALOGO!$A$8:$E$36,5),"")</f>
        <v/>
      </c>
      <c r="F55" s="29" t="str">
        <f>IF(B55&lt;&gt;"",SUMIFS('RESUMEN DE PUNTOS DE VENTA'!G$7:G$145,'RESUMEN DE PUNTOS DE VENTA'!A$7:A$145,C51,'RESUMEN DE PUNTOS DE VENTA'!C$7:C$145,CROSSDOCKING!B55),"")</f>
        <v/>
      </c>
      <c r="G55" s="107" t="str">
        <f>IF(B55&lt;&gt;"",SUMIFS('RESUMEN DE PUNTOS DE VENTA'!H$7:H$145,'RESUMEN DE PUNTOS DE VENTA'!A$7:A$145,C51,'RESUMEN DE PUNTOS DE VENTA'!C$7:C$145,CROSSDOCKING!B55),"")</f>
        <v/>
      </c>
      <c r="H55" s="108" t="str">
        <f>IF(D55&lt;&gt;"",SUMIFS('RESUMEN DE PUNTOS DE VENTA'!#REF!,'RESUMEN DE PUNTOS DE VENTA'!#REF!,E52,'RESUMEN DE PUNTOS DE VENTA'!#REF!,CROSSDOCKING!D55),"")</f>
        <v/>
      </c>
      <c r="I55" s="29" t="str">
        <f t="shared" ref="I55:I56" si="4">IF(B55&lt;&gt;"",F55-G55,"")</f>
        <v/>
      </c>
    </row>
    <row r="56" spans="1:9" s="28" customFormat="1" x14ac:dyDescent="0.2">
      <c r="A56" s="32">
        <v>3</v>
      </c>
      <c r="B56" s="30"/>
      <c r="C56" s="31" t="str">
        <f>IF(B56&lt;&gt;"",UPPER(VLOOKUP(B56,CATALOGO!$A$8:$E$36,3)),"")</f>
        <v/>
      </c>
      <c r="D56" s="31" t="str">
        <f>IF(B56&lt;&gt;"",VLOOKUP(B56,CATALOGO!$A$8:$E$36,2),"")</f>
        <v/>
      </c>
      <c r="E56" s="29" t="str">
        <f>IF(B56&lt;&gt;"",VLOOKUP(B56,CATALOGO!$A$8:$E$36,5),"")</f>
        <v/>
      </c>
      <c r="F56" s="29" t="str">
        <f>IF(B56&lt;&gt;"",SUMIFS('RESUMEN DE PUNTOS DE VENTA'!G$7:G$145,'RESUMEN DE PUNTOS DE VENTA'!A$7:A$145,C51,'RESUMEN DE PUNTOS DE VENTA'!C$7:C$145,CROSSDOCKING!B56),"")</f>
        <v/>
      </c>
      <c r="G56" s="107" t="str">
        <f>IF(B56&lt;&gt;"",SUMIFS('RESUMEN DE PUNTOS DE VENTA'!H$7:H$145,'RESUMEN DE PUNTOS DE VENTA'!A$7:A$145,C51,'RESUMEN DE PUNTOS DE VENTA'!C$7:C$145,CROSSDOCKING!B56),"")</f>
        <v/>
      </c>
      <c r="H56" s="108" t="str">
        <f>IF(D56&lt;&gt;"",SUMIFS('RESUMEN DE PUNTOS DE VENTA'!#REF!,'RESUMEN DE PUNTOS DE VENTA'!#REF!,E53,'RESUMEN DE PUNTOS DE VENTA'!#REF!,CROSSDOCKING!D56),"")</f>
        <v/>
      </c>
      <c r="I56" s="29" t="str">
        <f t="shared" si="4"/>
        <v/>
      </c>
    </row>
    <row r="57" spans="1:9" s="28" customFormat="1" x14ac:dyDescent="0.2">
      <c r="A57" s="109" t="s">
        <v>67</v>
      </c>
      <c r="B57" s="110"/>
      <c r="C57" s="110"/>
      <c r="D57" s="110"/>
      <c r="E57" s="111"/>
      <c r="F57" s="29">
        <f>SUM(F54:F56)</f>
        <v>1</v>
      </c>
      <c r="G57" s="107">
        <f>SUM(G54:G56)</f>
        <v>1</v>
      </c>
      <c r="H57" s="108"/>
      <c r="I57" s="29">
        <f>SUM(I54:I56)</f>
        <v>0</v>
      </c>
    </row>
    <row r="58" spans="1:9" s="28" customFormat="1" ht="15" customHeight="1" x14ac:dyDescent="0.2">
      <c r="A58" s="134" t="s">
        <v>150</v>
      </c>
      <c r="B58" s="135"/>
      <c r="C58" s="52">
        <f>COUNTIF($A$1:I57, "TOTAL")</f>
        <v>5</v>
      </c>
      <c r="D58" s="135" t="s">
        <v>146</v>
      </c>
      <c r="E58" s="135"/>
      <c r="F58" s="136">
        <f>CAJAS!$C$21</f>
        <v>33</v>
      </c>
      <c r="G58" s="136"/>
      <c r="H58" s="136"/>
      <c r="I58" s="137"/>
    </row>
    <row r="59" spans="1:9" s="28" customFormat="1" ht="10" customHeight="1" thickBot="1" x14ac:dyDescent="0.25">
      <c r="A59" s="138"/>
      <c r="B59" s="138"/>
      <c r="C59" s="138"/>
      <c r="D59" s="138"/>
      <c r="E59" s="138"/>
      <c r="F59" s="138"/>
      <c r="G59" s="138"/>
      <c r="H59" s="138"/>
      <c r="I59" s="138"/>
    </row>
    <row r="60" spans="1:9" s="28" customFormat="1" ht="10" customHeight="1" thickTop="1" x14ac:dyDescent="0.2">
      <c r="A60" s="115"/>
      <c r="B60" s="115"/>
      <c r="C60" s="115"/>
      <c r="D60" s="115"/>
      <c r="E60" s="115"/>
      <c r="F60" s="115"/>
      <c r="G60" s="115"/>
      <c r="H60" s="115"/>
      <c r="I60" s="115"/>
    </row>
    <row r="61" spans="1:9" s="28" customFormat="1" ht="16" x14ac:dyDescent="0.2">
      <c r="A61" s="116" t="s">
        <v>59</v>
      </c>
      <c r="B61" s="117"/>
      <c r="C61" s="117"/>
      <c r="D61" s="117"/>
      <c r="E61" s="117"/>
      <c r="F61" s="117"/>
      <c r="G61" s="117"/>
      <c r="H61" s="117"/>
      <c r="I61" s="118"/>
    </row>
    <row r="62" spans="1:9" s="28" customFormat="1" ht="16" x14ac:dyDescent="0.2">
      <c r="A62" s="119" t="s">
        <v>60</v>
      </c>
      <c r="B62" s="120"/>
      <c r="C62" s="120"/>
      <c r="D62" s="120"/>
      <c r="E62" s="120"/>
      <c r="F62" s="120"/>
      <c r="G62" s="120"/>
      <c r="H62" s="120"/>
      <c r="I62" s="121"/>
    </row>
    <row r="63" spans="1:9" s="28" customFormat="1" ht="18.75" customHeight="1" x14ac:dyDescent="0.2">
      <c r="A63" s="122" t="s">
        <v>61</v>
      </c>
      <c r="B63" s="123"/>
      <c r="C63" s="69">
        <v>3900</v>
      </c>
      <c r="D63" s="53" t="s">
        <v>244</v>
      </c>
      <c r="E63" s="124" t="str">
        <f>VLOOKUP(C63,'PUNTOS DE VENTA'!$A$1:$C$75,3)</f>
        <v>XA262</v>
      </c>
      <c r="F63" s="125"/>
      <c r="G63" s="70" t="s">
        <v>62</v>
      </c>
      <c r="H63" s="126">
        <f>'RESUMEN DE PUNTOS DE VENTA'!$C$4</f>
        <v>2900678609</v>
      </c>
      <c r="I63" s="127"/>
    </row>
    <row r="64" spans="1:9" s="28" customFormat="1" ht="18.75" customHeight="1" x14ac:dyDescent="0.2">
      <c r="A64" s="122" t="s">
        <v>63</v>
      </c>
      <c r="B64" s="123"/>
      <c r="C64" s="128" t="str">
        <f>UPPER(VLOOKUP(C63,'PUNTOS DE VENTA'!$A$1:$B$75,2))</f>
        <v>MAXI EL CRUCE</v>
      </c>
      <c r="D64" s="128"/>
      <c r="E64" s="128"/>
      <c r="F64" s="128"/>
      <c r="G64" s="128"/>
      <c r="H64" s="128"/>
      <c r="I64" s="129"/>
    </row>
    <row r="65" spans="1:9" s="28" customFormat="1" ht="22.5" customHeight="1" x14ac:dyDescent="0.2">
      <c r="A65" s="130" t="s">
        <v>7</v>
      </c>
      <c r="B65" s="131"/>
      <c r="C65" s="71" t="s">
        <v>28</v>
      </c>
      <c r="D65" s="72" t="s">
        <v>11</v>
      </c>
      <c r="E65" s="72" t="s">
        <v>8</v>
      </c>
      <c r="F65" s="73" t="s">
        <v>64</v>
      </c>
      <c r="G65" s="132" t="s">
        <v>65</v>
      </c>
      <c r="H65" s="133"/>
      <c r="I65" s="74" t="s">
        <v>66</v>
      </c>
    </row>
    <row r="66" spans="1:9" s="28" customFormat="1" x14ac:dyDescent="0.2">
      <c r="A66" s="32">
        <v>1</v>
      </c>
      <c r="B66" s="30">
        <f>IF(SUMIFS('RESUMEN DE PUNTOS DE VENTA'!C$7:C$145,'RESUMEN DE PUNTOS DE VENTA'!A$7:A$145,C63,'RESUMEN DE PUNTOS DE VENTA'!C$7:C$145,"2645516") = 2645516, 2645516, IF(SUMIFS('RESUMEN DE PUNTOS DE VENTA'!C$7:C$145,'RESUMEN DE PUNTOS DE VENTA'!A$7:A$145,C63,'RESUMEN DE PUNTOS DE VENTA'!C$7:C$145,"2647973") = 2647973, 2647973, ""))</f>
        <v>2645516</v>
      </c>
      <c r="C66" s="31" t="str">
        <f>IF(B66&lt;&gt;"",UPPER(VLOOKUP(B66,CATALOGO!$A$8:$E$36,3)),"")</f>
        <v>ALMOHADA Y FUNDA BEBE COLORES SURTIDOS DOCOMA</v>
      </c>
      <c r="D66" s="31">
        <f>IF(B66&lt;&gt;"",VLOOKUP(B66,CATALOGO!$A$8:$E$36,2),"")</f>
        <v>7441119600652</v>
      </c>
      <c r="E66" s="29">
        <f>IF(B66&lt;&gt;"",VLOOKUP(B66,CATALOGO!$A$8:$E$36,5),"")</f>
        <v>3</v>
      </c>
      <c r="F66" s="29">
        <f>IF(B66&lt;&gt;"",SUMIFS('RESUMEN DE PUNTOS DE VENTA'!G$7:G$145,'RESUMEN DE PUNTOS DE VENTA'!A$7:A$145,C63,'RESUMEN DE PUNTOS DE VENTA'!C$7:C$145,CROSSDOCKING!B66),"")</f>
        <v>1</v>
      </c>
      <c r="G66" s="107">
        <f>IF(B66&lt;&gt;"",SUMIFS('RESUMEN DE PUNTOS DE VENTA'!H$7:H$145,'RESUMEN DE PUNTOS DE VENTA'!A$7:A$145,C63,'RESUMEN DE PUNTOS DE VENTA'!C$7:C$145,CROSSDOCKING!B66),"")</f>
        <v>1</v>
      </c>
      <c r="H66" s="108" t="e">
        <f>IF(D66&lt;&gt;"",SUMIFS('RESUMEN DE PUNTOS DE VENTA'!#REF!,'RESUMEN DE PUNTOS DE VENTA'!#REF!,E63,'RESUMEN DE PUNTOS DE VENTA'!#REF!,CROSSDOCKING!D66),"")</f>
        <v>#REF!</v>
      </c>
      <c r="I66" s="29">
        <f>IF(B66&lt;&gt;"",F66-G66,"")</f>
        <v>0</v>
      </c>
    </row>
    <row r="67" spans="1:9" s="28" customFormat="1" x14ac:dyDescent="0.2">
      <c r="A67" s="32">
        <v>2</v>
      </c>
      <c r="B67" s="30">
        <f>IF(AND(B66&lt;&gt;"",B66&lt;&gt;2647973),IF(SUMIFS('RESUMEN DE PUNTOS DE VENTA'!C$7:C$145,'RESUMEN DE PUNTOS DE VENTA'!A$7:A$145,C63,'RESUMEN DE PUNTOS DE VENTA'!C$7:C$145,"2647973")=2647973,2647973,""), "")</f>
        <v>2647973</v>
      </c>
      <c r="C67" s="31" t="str">
        <f>IF(B67&lt;&gt;"",UPPER(VLOOKUP(B67,CATALOGO!$A$8:$E$36,3)),"")</f>
        <v>ALMOHADA BEBE SENCILLA ESTAMPADA</v>
      </c>
      <c r="D67" s="31">
        <f>IF(B67&lt;&gt;"",VLOOKUP(B67,CATALOGO!$A$8:$E$36,2),"")</f>
        <v>7441119600768</v>
      </c>
      <c r="E67" s="29">
        <f>IF(B67&lt;&gt;"",VLOOKUP(B67,CATALOGO!$A$8:$E$36,5),"")</f>
        <v>3</v>
      </c>
      <c r="F67" s="29">
        <f>IF(B67&lt;&gt;"",SUMIFS('RESUMEN DE PUNTOS DE VENTA'!G$7:G$145,'RESUMEN DE PUNTOS DE VENTA'!A$7:A$145,C63,'RESUMEN DE PUNTOS DE VENTA'!C$7:C$145,CROSSDOCKING!B67),"")</f>
        <v>1</v>
      </c>
      <c r="G67" s="107">
        <f>IF(B67&lt;&gt;"",SUMIFS('RESUMEN DE PUNTOS DE VENTA'!H$7:H$145,'RESUMEN DE PUNTOS DE VENTA'!A$7:A$145,C63,'RESUMEN DE PUNTOS DE VENTA'!C$7:C$145,CROSSDOCKING!B67),"")</f>
        <v>1</v>
      </c>
      <c r="H67" s="108" t="e">
        <f>IF(D67&lt;&gt;"",SUMIFS('RESUMEN DE PUNTOS DE VENTA'!#REF!,'RESUMEN DE PUNTOS DE VENTA'!#REF!,E64,'RESUMEN DE PUNTOS DE VENTA'!#REF!,CROSSDOCKING!D67),"")</f>
        <v>#REF!</v>
      </c>
      <c r="I67" s="29">
        <f t="shared" ref="I67:I68" si="5">IF(B67&lt;&gt;"",F67-G67,"")</f>
        <v>0</v>
      </c>
    </row>
    <row r="68" spans="1:9" s="28" customFormat="1" x14ac:dyDescent="0.2">
      <c r="A68" s="32">
        <v>3</v>
      </c>
      <c r="B68" s="30"/>
      <c r="C68" s="31" t="str">
        <f>IF(B68&lt;&gt;"",UPPER(VLOOKUP(B68,CATALOGO!$A$8:$E$36,3)),"")</f>
        <v/>
      </c>
      <c r="D68" s="31" t="str">
        <f>IF(B68&lt;&gt;"",VLOOKUP(B68,CATALOGO!$A$8:$E$36,2),"")</f>
        <v/>
      </c>
      <c r="E68" s="29" t="str">
        <f>IF(B68&lt;&gt;"",VLOOKUP(B68,CATALOGO!$A$8:$E$36,5),"")</f>
        <v/>
      </c>
      <c r="F68" s="29" t="str">
        <f>IF(B68&lt;&gt;"",SUMIFS('RESUMEN DE PUNTOS DE VENTA'!G$7:G$145,'RESUMEN DE PUNTOS DE VENTA'!A$7:A$145,C63,'RESUMEN DE PUNTOS DE VENTA'!C$7:C$145,CROSSDOCKING!B68),"")</f>
        <v/>
      </c>
      <c r="G68" s="107" t="str">
        <f>IF(B68&lt;&gt;"",SUMIFS('RESUMEN DE PUNTOS DE VENTA'!H$7:H$145,'RESUMEN DE PUNTOS DE VENTA'!A$7:A$145,C63,'RESUMEN DE PUNTOS DE VENTA'!C$7:C$145,CROSSDOCKING!B68),"")</f>
        <v/>
      </c>
      <c r="H68" s="108" t="str">
        <f>IF(D68&lt;&gt;"",SUMIFS('RESUMEN DE PUNTOS DE VENTA'!#REF!,'RESUMEN DE PUNTOS DE VENTA'!#REF!,E65,'RESUMEN DE PUNTOS DE VENTA'!#REF!,CROSSDOCKING!D68),"")</f>
        <v/>
      </c>
      <c r="I68" s="29" t="str">
        <f t="shared" si="5"/>
        <v/>
      </c>
    </row>
    <row r="69" spans="1:9" s="28" customFormat="1" ht="15" customHeight="1" x14ac:dyDescent="0.2">
      <c r="A69" s="109" t="s">
        <v>67</v>
      </c>
      <c r="B69" s="110"/>
      <c r="C69" s="110"/>
      <c r="D69" s="110"/>
      <c r="E69" s="111"/>
      <c r="F69" s="29">
        <f>SUM(F66:F68)</f>
        <v>2</v>
      </c>
      <c r="G69" s="107">
        <f>SUM(G66:G68)</f>
        <v>2</v>
      </c>
      <c r="H69" s="108"/>
      <c r="I69" s="29">
        <f>SUM(I66:I68)</f>
        <v>0</v>
      </c>
    </row>
    <row r="70" spans="1:9" s="28" customFormat="1" ht="15" customHeight="1" x14ac:dyDescent="0.2">
      <c r="A70" s="107" t="s">
        <v>150</v>
      </c>
      <c r="B70" s="112"/>
      <c r="C70" s="54">
        <f>COUNTIF($A$1:I69, "TOTAL")</f>
        <v>6</v>
      </c>
      <c r="D70" s="112" t="s">
        <v>146</v>
      </c>
      <c r="E70" s="112"/>
      <c r="F70" s="113">
        <f>CAJAS!$C$21</f>
        <v>33</v>
      </c>
      <c r="G70" s="113"/>
      <c r="H70" s="113"/>
      <c r="I70" s="114"/>
    </row>
    <row r="71" spans="1:9" s="28" customFormat="1" ht="16" x14ac:dyDescent="0.2">
      <c r="A71" s="116" t="s">
        <v>59</v>
      </c>
      <c r="B71" s="117"/>
      <c r="C71" s="117"/>
      <c r="D71" s="117"/>
      <c r="E71" s="117"/>
      <c r="F71" s="117"/>
      <c r="G71" s="117"/>
      <c r="H71" s="117"/>
      <c r="I71" s="118"/>
    </row>
    <row r="72" spans="1:9" s="28" customFormat="1" ht="16" x14ac:dyDescent="0.2">
      <c r="A72" s="119" t="s">
        <v>60</v>
      </c>
      <c r="B72" s="120"/>
      <c r="C72" s="120"/>
      <c r="D72" s="120"/>
      <c r="E72" s="120"/>
      <c r="F72" s="120"/>
      <c r="G72" s="120"/>
      <c r="H72" s="120"/>
      <c r="I72" s="121"/>
    </row>
    <row r="73" spans="1:9" s="28" customFormat="1" ht="18.75" customHeight="1" x14ac:dyDescent="0.2">
      <c r="A73" s="122" t="s">
        <v>61</v>
      </c>
      <c r="B73" s="123"/>
      <c r="C73" s="69">
        <v>3901</v>
      </c>
      <c r="D73" s="53" t="s">
        <v>244</v>
      </c>
      <c r="E73" s="124" t="str">
        <f>VLOOKUP(C73,'PUNTOS DE VENTA'!$A$1:$C$75,3)</f>
        <v>XA280</v>
      </c>
      <c r="F73" s="125"/>
      <c r="G73" s="70" t="s">
        <v>62</v>
      </c>
      <c r="H73" s="126">
        <f>'RESUMEN DE PUNTOS DE VENTA'!$C$4</f>
        <v>2900678609</v>
      </c>
      <c r="I73" s="127"/>
    </row>
    <row r="74" spans="1:9" s="28" customFormat="1" ht="18.75" customHeight="1" x14ac:dyDescent="0.2">
      <c r="A74" s="122" t="s">
        <v>63</v>
      </c>
      <c r="B74" s="123"/>
      <c r="C74" s="128" t="str">
        <f>UPPER(VLOOKUP(C73,'PUNTOS DE VENTA'!$A$1:$B$75,2))</f>
        <v>MAXI ALAJUELA</v>
      </c>
      <c r="D74" s="128"/>
      <c r="E74" s="128"/>
      <c r="F74" s="128"/>
      <c r="G74" s="128"/>
      <c r="H74" s="128"/>
      <c r="I74" s="129"/>
    </row>
    <row r="75" spans="1:9" s="28" customFormat="1" ht="22.5" customHeight="1" x14ac:dyDescent="0.2">
      <c r="A75" s="130" t="s">
        <v>7</v>
      </c>
      <c r="B75" s="131"/>
      <c r="C75" s="71" t="s">
        <v>28</v>
      </c>
      <c r="D75" s="72" t="s">
        <v>11</v>
      </c>
      <c r="E75" s="72" t="s">
        <v>8</v>
      </c>
      <c r="F75" s="73" t="s">
        <v>64</v>
      </c>
      <c r="G75" s="132" t="s">
        <v>65</v>
      </c>
      <c r="H75" s="133"/>
      <c r="I75" s="74" t="s">
        <v>66</v>
      </c>
    </row>
    <row r="76" spans="1:9" s="28" customFormat="1" x14ac:dyDescent="0.2">
      <c r="A76" s="32">
        <v>1</v>
      </c>
      <c r="B76" s="30">
        <f>IF(SUMIFS('RESUMEN DE PUNTOS DE VENTA'!C$7:C$145,'RESUMEN DE PUNTOS DE VENTA'!A$7:A$145,C73,'RESUMEN DE PUNTOS DE VENTA'!C$7:C$145,"2645516") = 2645516, 2645516, IF(SUMIFS('RESUMEN DE PUNTOS DE VENTA'!C$7:C$145,'RESUMEN DE PUNTOS DE VENTA'!A$7:A$145,C73,'RESUMEN DE PUNTOS DE VENTA'!C$7:C$145,"2647973") = 2647973, 2647973, ""))</f>
        <v>2647973</v>
      </c>
      <c r="C76" s="31" t="str">
        <f>IF(B76&lt;&gt;"",UPPER(VLOOKUP(B76,CATALOGO!$A$8:$E$36,3)),"")</f>
        <v>ALMOHADA BEBE SENCILLA ESTAMPADA</v>
      </c>
      <c r="D76" s="31">
        <f>IF(B76&lt;&gt;"",VLOOKUP(B76,CATALOGO!$A$8:$E$36,2),"")</f>
        <v>7441119600768</v>
      </c>
      <c r="E76" s="29">
        <f>IF(B76&lt;&gt;"",VLOOKUP(B76,CATALOGO!$A$8:$E$36,5),"")</f>
        <v>3</v>
      </c>
      <c r="F76" s="29">
        <f>IF(B76&lt;&gt;"",SUMIFS('RESUMEN DE PUNTOS DE VENTA'!G$7:G$145,'RESUMEN DE PUNTOS DE VENTA'!A$7:A$145,C73,'RESUMEN DE PUNTOS DE VENTA'!C$7:C$145,CROSSDOCKING!B76),"")</f>
        <v>1</v>
      </c>
      <c r="G76" s="107">
        <f>IF(B76&lt;&gt;"",SUMIFS('RESUMEN DE PUNTOS DE VENTA'!H$7:H$145,'RESUMEN DE PUNTOS DE VENTA'!A$7:A$145,C73,'RESUMEN DE PUNTOS DE VENTA'!C$7:C$145,CROSSDOCKING!B76),"")</f>
        <v>1</v>
      </c>
      <c r="H76" s="108" t="e">
        <f>IF(D76&lt;&gt;"",SUMIFS('RESUMEN DE PUNTOS DE VENTA'!#REF!,'RESUMEN DE PUNTOS DE VENTA'!#REF!,E73,'RESUMEN DE PUNTOS DE VENTA'!#REF!,CROSSDOCKING!D76),"")</f>
        <v>#REF!</v>
      </c>
      <c r="I76" s="29">
        <f>IF(B76&lt;&gt;"",F76-G76,"")</f>
        <v>0</v>
      </c>
    </row>
    <row r="77" spans="1:9" s="28" customFormat="1" x14ac:dyDescent="0.2">
      <c r="A77" s="32">
        <v>2</v>
      </c>
      <c r="B77" s="30" t="str">
        <f>IF(AND(B76&lt;&gt;"",B76&lt;&gt;2647973),IF(SUMIFS('RESUMEN DE PUNTOS DE VENTA'!C$7:C$145,'RESUMEN DE PUNTOS DE VENTA'!A$7:A$145,C73,'RESUMEN DE PUNTOS DE VENTA'!C$7:C$145,"2647973")=2647973,2647973,""), "")</f>
        <v/>
      </c>
      <c r="C77" s="31" t="str">
        <f>IF(B77&lt;&gt;"",UPPER(VLOOKUP(B77,CATALOGO!$A$8:$E$36,3)),"")</f>
        <v/>
      </c>
      <c r="D77" s="31" t="str">
        <f>IF(B77&lt;&gt;"",VLOOKUP(B77,CATALOGO!$A$8:$E$36,2),"")</f>
        <v/>
      </c>
      <c r="E77" s="29" t="str">
        <f>IF(B77&lt;&gt;"",VLOOKUP(B77,CATALOGO!$A$8:$E$36,5),"")</f>
        <v/>
      </c>
      <c r="F77" s="29" t="str">
        <f>IF(B77&lt;&gt;"",SUMIFS('RESUMEN DE PUNTOS DE VENTA'!G$7:G$145,'RESUMEN DE PUNTOS DE VENTA'!A$7:A$145,C73,'RESUMEN DE PUNTOS DE VENTA'!C$7:C$145,CROSSDOCKING!B77),"")</f>
        <v/>
      </c>
      <c r="G77" s="107" t="str">
        <f>IF(B77&lt;&gt;"",SUMIFS('RESUMEN DE PUNTOS DE VENTA'!H$7:H$145,'RESUMEN DE PUNTOS DE VENTA'!A$7:A$145,C73,'RESUMEN DE PUNTOS DE VENTA'!C$7:C$145,CROSSDOCKING!B77),"")</f>
        <v/>
      </c>
      <c r="H77" s="108" t="str">
        <f>IF(D77&lt;&gt;"",SUMIFS('RESUMEN DE PUNTOS DE VENTA'!#REF!,'RESUMEN DE PUNTOS DE VENTA'!#REF!,E74,'RESUMEN DE PUNTOS DE VENTA'!#REF!,CROSSDOCKING!D77),"")</f>
        <v/>
      </c>
      <c r="I77" s="29" t="str">
        <f t="shared" ref="I77:I78" si="6">IF(B77&lt;&gt;"",F77-G77,"")</f>
        <v/>
      </c>
    </row>
    <row r="78" spans="1:9" s="28" customFormat="1" x14ac:dyDescent="0.2">
      <c r="A78" s="32">
        <v>3</v>
      </c>
      <c r="B78" s="30"/>
      <c r="C78" s="31" t="str">
        <f>IF(B78&lt;&gt;"",UPPER(VLOOKUP(B78,CATALOGO!$A$8:$E$36,3)),"")</f>
        <v/>
      </c>
      <c r="D78" s="31" t="str">
        <f>IF(B78&lt;&gt;"",VLOOKUP(B78,CATALOGO!$A$8:$E$36,2),"")</f>
        <v/>
      </c>
      <c r="E78" s="29" t="str">
        <f>IF(B78&lt;&gt;"",VLOOKUP(B78,CATALOGO!$A$8:$E$36,5),"")</f>
        <v/>
      </c>
      <c r="F78" s="29" t="str">
        <f>IF(B78&lt;&gt;"",SUMIFS('RESUMEN DE PUNTOS DE VENTA'!G$7:G$145,'RESUMEN DE PUNTOS DE VENTA'!A$7:A$145,C73,'RESUMEN DE PUNTOS DE VENTA'!C$7:C$145,CROSSDOCKING!B78),"")</f>
        <v/>
      </c>
      <c r="G78" s="107" t="str">
        <f>IF(B78&lt;&gt;"",SUMIFS('RESUMEN DE PUNTOS DE VENTA'!H$7:H$145,'RESUMEN DE PUNTOS DE VENTA'!A$7:A$145,C73,'RESUMEN DE PUNTOS DE VENTA'!C$7:C$145,CROSSDOCKING!B78),"")</f>
        <v/>
      </c>
      <c r="H78" s="108" t="str">
        <f>IF(D78&lt;&gt;"",SUMIFS('RESUMEN DE PUNTOS DE VENTA'!#REF!,'RESUMEN DE PUNTOS DE VENTA'!#REF!,E75,'RESUMEN DE PUNTOS DE VENTA'!#REF!,CROSSDOCKING!D78),"")</f>
        <v/>
      </c>
      <c r="I78" s="29" t="str">
        <f t="shared" si="6"/>
        <v/>
      </c>
    </row>
    <row r="79" spans="1:9" s="28" customFormat="1" ht="15" customHeight="1" x14ac:dyDescent="0.2">
      <c r="A79" s="109" t="s">
        <v>67</v>
      </c>
      <c r="B79" s="110"/>
      <c r="C79" s="110"/>
      <c r="D79" s="110"/>
      <c r="E79" s="111"/>
      <c r="F79" s="29">
        <f>SUM(F76:F78)</f>
        <v>1</v>
      </c>
      <c r="G79" s="107">
        <f>SUM(G76:G78)</f>
        <v>1</v>
      </c>
      <c r="H79" s="108"/>
      <c r="I79" s="29">
        <f>SUM(I76:I78)</f>
        <v>0</v>
      </c>
    </row>
    <row r="80" spans="1:9" s="28" customFormat="1" ht="15" customHeight="1" x14ac:dyDescent="0.2">
      <c r="A80" s="134" t="s">
        <v>150</v>
      </c>
      <c r="B80" s="135"/>
      <c r="C80" s="52">
        <f>COUNTIF($A$1:I79, "TOTAL")</f>
        <v>7</v>
      </c>
      <c r="D80" s="135" t="s">
        <v>146</v>
      </c>
      <c r="E80" s="135"/>
      <c r="F80" s="136">
        <f>CAJAS!$C$21</f>
        <v>33</v>
      </c>
      <c r="G80" s="136"/>
      <c r="H80" s="136"/>
      <c r="I80" s="137"/>
    </row>
    <row r="81" spans="1:9" s="28" customFormat="1" ht="10" customHeight="1" thickBot="1" x14ac:dyDescent="0.25">
      <c r="A81" s="138"/>
      <c r="B81" s="138"/>
      <c r="C81" s="138"/>
      <c r="D81" s="138"/>
      <c r="E81" s="138"/>
      <c r="F81" s="138"/>
      <c r="G81" s="138"/>
      <c r="H81" s="138"/>
      <c r="I81" s="138"/>
    </row>
    <row r="82" spans="1:9" s="28" customFormat="1" ht="10" customHeight="1" thickTop="1" x14ac:dyDescent="0.2">
      <c r="A82" s="115"/>
      <c r="B82" s="115"/>
      <c r="C82" s="115"/>
      <c r="D82" s="115"/>
      <c r="E82" s="115"/>
      <c r="F82" s="115"/>
      <c r="G82" s="115"/>
      <c r="H82" s="115"/>
      <c r="I82" s="115"/>
    </row>
    <row r="83" spans="1:9" s="28" customFormat="1" ht="16" x14ac:dyDescent="0.2">
      <c r="A83" s="116" t="s">
        <v>59</v>
      </c>
      <c r="B83" s="117"/>
      <c r="C83" s="117"/>
      <c r="D83" s="117"/>
      <c r="E83" s="117"/>
      <c r="F83" s="117"/>
      <c r="G83" s="117"/>
      <c r="H83" s="117"/>
      <c r="I83" s="118"/>
    </row>
    <row r="84" spans="1:9" s="28" customFormat="1" ht="16" x14ac:dyDescent="0.2">
      <c r="A84" s="119" t="s">
        <v>60</v>
      </c>
      <c r="B84" s="120"/>
      <c r="C84" s="120"/>
      <c r="D84" s="120"/>
      <c r="E84" s="120"/>
      <c r="F84" s="120"/>
      <c r="G84" s="120"/>
      <c r="H84" s="120"/>
      <c r="I84" s="121"/>
    </row>
    <row r="85" spans="1:9" s="28" customFormat="1" ht="18.75" customHeight="1" x14ac:dyDescent="0.2">
      <c r="A85" s="122" t="s">
        <v>61</v>
      </c>
      <c r="B85" s="123"/>
      <c r="C85" s="69">
        <v>3904</v>
      </c>
      <c r="D85" s="53" t="s">
        <v>244</v>
      </c>
      <c r="E85" s="124" t="str">
        <f>VLOOKUP(C85,'PUNTOS DE VENTA'!$A$1:$C$75,3)</f>
        <v>XA267</v>
      </c>
      <c r="F85" s="125"/>
      <c r="G85" s="70" t="s">
        <v>62</v>
      </c>
      <c r="H85" s="126">
        <f>'RESUMEN DE PUNTOS DE VENTA'!$C$4</f>
        <v>2900678609</v>
      </c>
      <c r="I85" s="127"/>
    </row>
    <row r="86" spans="1:9" s="28" customFormat="1" ht="18.75" customHeight="1" x14ac:dyDescent="0.2">
      <c r="A86" s="122" t="s">
        <v>63</v>
      </c>
      <c r="B86" s="123"/>
      <c r="C86" s="128" t="str">
        <f>UPPER(VLOOKUP(C85,'PUNTOS DE VENTA'!$A$1:$B$75,2))</f>
        <v>MAXI LIMON</v>
      </c>
      <c r="D86" s="128"/>
      <c r="E86" s="128"/>
      <c r="F86" s="128"/>
      <c r="G86" s="128"/>
      <c r="H86" s="128"/>
      <c r="I86" s="129"/>
    </row>
    <row r="87" spans="1:9" s="28" customFormat="1" ht="22.5" customHeight="1" x14ac:dyDescent="0.2">
      <c r="A87" s="130" t="s">
        <v>7</v>
      </c>
      <c r="B87" s="131"/>
      <c r="C87" s="71" t="s">
        <v>28</v>
      </c>
      <c r="D87" s="72" t="s">
        <v>11</v>
      </c>
      <c r="E87" s="72" t="s">
        <v>8</v>
      </c>
      <c r="F87" s="73" t="s">
        <v>64</v>
      </c>
      <c r="G87" s="132" t="s">
        <v>65</v>
      </c>
      <c r="H87" s="133"/>
      <c r="I87" s="74" t="s">
        <v>66</v>
      </c>
    </row>
    <row r="88" spans="1:9" s="28" customFormat="1" x14ac:dyDescent="0.2">
      <c r="A88" s="32">
        <v>1</v>
      </c>
      <c r="B88" s="30">
        <f>IF(SUMIFS('RESUMEN DE PUNTOS DE VENTA'!C$7:C$145,'RESUMEN DE PUNTOS DE VENTA'!A$7:A$145,C85,'RESUMEN DE PUNTOS DE VENTA'!C$7:C$145,"2645516") = 2645516, 2645516, IF(SUMIFS('RESUMEN DE PUNTOS DE VENTA'!C$7:C$145,'RESUMEN DE PUNTOS DE VENTA'!A$7:A$145,C85,'RESUMEN DE PUNTOS DE VENTA'!C$7:C$145,"2647973") = 2647973, 2647973, ""))</f>
        <v>2647973</v>
      </c>
      <c r="C88" s="31" t="str">
        <f>IF(B88&lt;&gt;"",UPPER(VLOOKUP(B88,CATALOGO!$A$8:$E$36,3)),"")</f>
        <v>ALMOHADA BEBE SENCILLA ESTAMPADA</v>
      </c>
      <c r="D88" s="31">
        <f>IF(B88&lt;&gt;"",VLOOKUP(B88,CATALOGO!$A$8:$E$36,2),"")</f>
        <v>7441119600768</v>
      </c>
      <c r="E88" s="29">
        <f>IF(B88&lt;&gt;"",VLOOKUP(B88,CATALOGO!$A$8:$E$36,5),"")</f>
        <v>3</v>
      </c>
      <c r="F88" s="29">
        <f>IF(B88&lt;&gt;"",SUMIFS('RESUMEN DE PUNTOS DE VENTA'!G$7:G$145,'RESUMEN DE PUNTOS DE VENTA'!A$7:A$145,C85,'RESUMEN DE PUNTOS DE VENTA'!C$7:C$145,CROSSDOCKING!B88),"")</f>
        <v>1</v>
      </c>
      <c r="G88" s="107">
        <f>IF(B88&lt;&gt;"",SUMIFS('RESUMEN DE PUNTOS DE VENTA'!H$7:H$145,'RESUMEN DE PUNTOS DE VENTA'!A$7:A$145,C85,'RESUMEN DE PUNTOS DE VENTA'!C$7:C$145,CROSSDOCKING!B88),"")</f>
        <v>1</v>
      </c>
      <c r="H88" s="108" t="e">
        <f>IF(D88&lt;&gt;"",SUMIFS('RESUMEN DE PUNTOS DE VENTA'!#REF!,'RESUMEN DE PUNTOS DE VENTA'!#REF!,E85,'RESUMEN DE PUNTOS DE VENTA'!#REF!,CROSSDOCKING!D88),"")</f>
        <v>#REF!</v>
      </c>
      <c r="I88" s="29">
        <f>IF(B88&lt;&gt;"",F88-G88,"")</f>
        <v>0</v>
      </c>
    </row>
    <row r="89" spans="1:9" s="28" customFormat="1" x14ac:dyDescent="0.2">
      <c r="A89" s="32">
        <v>2</v>
      </c>
      <c r="B89" s="30" t="str">
        <f>IF(AND(B88&lt;&gt;"",B88&lt;&gt;2647973),IF(SUMIFS('RESUMEN DE PUNTOS DE VENTA'!C$7:C$145,'RESUMEN DE PUNTOS DE VENTA'!A$7:A$145,C85,'RESUMEN DE PUNTOS DE VENTA'!C$7:C$145,"2647973")=2647973,2647973,""), "")</f>
        <v/>
      </c>
      <c r="C89" s="31" t="str">
        <f>IF(B89&lt;&gt;"",UPPER(VLOOKUP(B89,CATALOGO!$A$8:$E$36,3)),"")</f>
        <v/>
      </c>
      <c r="D89" s="31" t="str">
        <f>IF(B89&lt;&gt;"",VLOOKUP(B89,CATALOGO!$A$8:$E$36,2),"")</f>
        <v/>
      </c>
      <c r="E89" s="29" t="str">
        <f>IF(B89&lt;&gt;"",VLOOKUP(B89,CATALOGO!$A$8:$E$36,5),"")</f>
        <v/>
      </c>
      <c r="F89" s="29" t="str">
        <f>IF(B89&lt;&gt;"",SUMIFS('RESUMEN DE PUNTOS DE VENTA'!G$7:G$145,'RESUMEN DE PUNTOS DE VENTA'!A$7:A$145,C85,'RESUMEN DE PUNTOS DE VENTA'!C$7:C$145,CROSSDOCKING!B89),"")</f>
        <v/>
      </c>
      <c r="G89" s="107" t="str">
        <f>IF(B89&lt;&gt;"",SUMIFS('RESUMEN DE PUNTOS DE VENTA'!H$7:H$145,'RESUMEN DE PUNTOS DE VENTA'!A$7:A$145,C85,'RESUMEN DE PUNTOS DE VENTA'!C$7:C$145,CROSSDOCKING!B89),"")</f>
        <v/>
      </c>
      <c r="H89" s="108" t="str">
        <f>IF(D89&lt;&gt;"",SUMIFS('RESUMEN DE PUNTOS DE VENTA'!#REF!,'RESUMEN DE PUNTOS DE VENTA'!#REF!,E86,'RESUMEN DE PUNTOS DE VENTA'!#REF!,CROSSDOCKING!D89),"")</f>
        <v/>
      </c>
      <c r="I89" s="29" t="str">
        <f t="shared" ref="I89:I90" si="7">IF(B89&lt;&gt;"",F89-G89,"")</f>
        <v/>
      </c>
    </row>
    <row r="90" spans="1:9" s="28" customFormat="1" x14ac:dyDescent="0.2">
      <c r="A90" s="32">
        <v>3</v>
      </c>
      <c r="B90" s="30"/>
      <c r="C90" s="31" t="str">
        <f>IF(B90&lt;&gt;"",UPPER(VLOOKUP(B90,CATALOGO!$A$8:$E$36,3)),"")</f>
        <v/>
      </c>
      <c r="D90" s="31" t="str">
        <f>IF(B90&lt;&gt;"",VLOOKUP(B90,CATALOGO!$A$8:$E$36,2),"")</f>
        <v/>
      </c>
      <c r="E90" s="29" t="str">
        <f>IF(B90&lt;&gt;"",VLOOKUP(B90,CATALOGO!$A$8:$E$36,5),"")</f>
        <v/>
      </c>
      <c r="F90" s="29" t="str">
        <f>IF(B90&lt;&gt;"",SUMIFS('RESUMEN DE PUNTOS DE VENTA'!G$7:G$145,'RESUMEN DE PUNTOS DE VENTA'!A$7:A$145,C85,'RESUMEN DE PUNTOS DE VENTA'!C$7:C$145,CROSSDOCKING!B90),"")</f>
        <v/>
      </c>
      <c r="G90" s="107" t="str">
        <f>IF(B90&lt;&gt;"",SUMIFS('RESUMEN DE PUNTOS DE VENTA'!H$7:H$145,'RESUMEN DE PUNTOS DE VENTA'!A$7:A$145,C85,'RESUMEN DE PUNTOS DE VENTA'!C$7:C$145,CROSSDOCKING!B90),"")</f>
        <v/>
      </c>
      <c r="H90" s="108" t="str">
        <f>IF(D90&lt;&gt;"",SUMIFS('RESUMEN DE PUNTOS DE VENTA'!#REF!,'RESUMEN DE PUNTOS DE VENTA'!#REF!,E87,'RESUMEN DE PUNTOS DE VENTA'!#REF!,CROSSDOCKING!D90),"")</f>
        <v/>
      </c>
      <c r="I90" s="29" t="str">
        <f t="shared" si="7"/>
        <v/>
      </c>
    </row>
    <row r="91" spans="1:9" s="28" customFormat="1" ht="15" customHeight="1" x14ac:dyDescent="0.2">
      <c r="A91" s="109" t="s">
        <v>67</v>
      </c>
      <c r="B91" s="110"/>
      <c r="C91" s="110"/>
      <c r="D91" s="110"/>
      <c r="E91" s="111"/>
      <c r="F91" s="29">
        <f>SUM(F88:F90)</f>
        <v>1</v>
      </c>
      <c r="G91" s="107">
        <f>SUM(G88:G90)</f>
        <v>1</v>
      </c>
      <c r="H91" s="108"/>
      <c r="I91" s="29">
        <f>SUM(I88:I90)</f>
        <v>0</v>
      </c>
    </row>
    <row r="92" spans="1:9" s="28" customFormat="1" ht="15" customHeight="1" x14ac:dyDescent="0.2">
      <c r="A92" s="134" t="s">
        <v>150</v>
      </c>
      <c r="B92" s="135"/>
      <c r="C92" s="52">
        <f>COUNTIF($A$1:I91, "TOTAL")</f>
        <v>8</v>
      </c>
      <c r="D92" s="135" t="s">
        <v>146</v>
      </c>
      <c r="E92" s="135"/>
      <c r="F92" s="136">
        <f>CAJAS!$C$21</f>
        <v>33</v>
      </c>
      <c r="G92" s="136"/>
      <c r="H92" s="136"/>
      <c r="I92" s="137"/>
    </row>
    <row r="93" spans="1:9" s="28" customFormat="1" ht="10" customHeight="1" thickBot="1" x14ac:dyDescent="0.25">
      <c r="A93" s="138"/>
      <c r="B93" s="138"/>
      <c r="C93" s="138"/>
      <c r="D93" s="138"/>
      <c r="E93" s="138"/>
      <c r="F93" s="138"/>
      <c r="G93" s="138"/>
      <c r="H93" s="138"/>
      <c r="I93" s="138"/>
    </row>
    <row r="94" spans="1:9" s="28" customFormat="1" ht="10" customHeight="1" thickTop="1" x14ac:dyDescent="0.2">
      <c r="A94" s="115"/>
      <c r="B94" s="115"/>
      <c r="C94" s="115"/>
      <c r="D94" s="115"/>
      <c r="E94" s="115"/>
      <c r="F94" s="115"/>
      <c r="G94" s="115"/>
      <c r="H94" s="115"/>
      <c r="I94" s="115"/>
    </row>
    <row r="95" spans="1:9" s="28" customFormat="1" ht="16" x14ac:dyDescent="0.2">
      <c r="A95" s="116" t="s">
        <v>59</v>
      </c>
      <c r="B95" s="117"/>
      <c r="C95" s="117"/>
      <c r="D95" s="117"/>
      <c r="E95" s="117"/>
      <c r="F95" s="117"/>
      <c r="G95" s="117"/>
      <c r="H95" s="117"/>
      <c r="I95" s="118"/>
    </row>
    <row r="96" spans="1:9" s="28" customFormat="1" ht="16" x14ac:dyDescent="0.2">
      <c r="A96" s="119" t="s">
        <v>60</v>
      </c>
      <c r="B96" s="120"/>
      <c r="C96" s="120"/>
      <c r="D96" s="120"/>
      <c r="E96" s="120"/>
      <c r="F96" s="120"/>
      <c r="G96" s="120"/>
      <c r="H96" s="120"/>
      <c r="I96" s="121"/>
    </row>
    <row r="97" spans="1:9" s="28" customFormat="1" ht="18.75" customHeight="1" x14ac:dyDescent="0.2">
      <c r="A97" s="122" t="s">
        <v>61</v>
      </c>
      <c r="B97" s="123"/>
      <c r="C97" s="69">
        <v>3905</v>
      </c>
      <c r="D97" s="53" t="s">
        <v>244</v>
      </c>
      <c r="E97" s="124" t="str">
        <f>VLOOKUP(C97,'PUNTOS DE VENTA'!$A$1:$C$75,3)</f>
        <v>XA269</v>
      </c>
      <c r="F97" s="125"/>
      <c r="G97" s="70" t="s">
        <v>62</v>
      </c>
      <c r="H97" s="126">
        <f>'RESUMEN DE PUNTOS DE VENTA'!$C$4</f>
        <v>2900678609</v>
      </c>
      <c r="I97" s="127"/>
    </row>
    <row r="98" spans="1:9" s="28" customFormat="1" ht="18.75" customHeight="1" x14ac:dyDescent="0.2">
      <c r="A98" s="122" t="s">
        <v>63</v>
      </c>
      <c r="B98" s="123"/>
      <c r="C98" s="128" t="str">
        <f>UPPER(VLOOKUP(C97,'PUNTOS DE VENTA'!$A$1:$B$75,2))</f>
        <v>MAXI LIBERIA</v>
      </c>
      <c r="D98" s="128"/>
      <c r="E98" s="128"/>
      <c r="F98" s="128"/>
      <c r="G98" s="128"/>
      <c r="H98" s="128"/>
      <c r="I98" s="129"/>
    </row>
    <row r="99" spans="1:9" s="28" customFormat="1" ht="22.5" customHeight="1" x14ac:dyDescent="0.2">
      <c r="A99" s="130" t="s">
        <v>7</v>
      </c>
      <c r="B99" s="131"/>
      <c r="C99" s="71" t="s">
        <v>28</v>
      </c>
      <c r="D99" s="72" t="s">
        <v>11</v>
      </c>
      <c r="E99" s="72" t="s">
        <v>8</v>
      </c>
      <c r="F99" s="73" t="s">
        <v>64</v>
      </c>
      <c r="G99" s="132" t="s">
        <v>65</v>
      </c>
      <c r="H99" s="133"/>
      <c r="I99" s="74" t="s">
        <v>66</v>
      </c>
    </row>
    <row r="100" spans="1:9" s="28" customFormat="1" x14ac:dyDescent="0.2">
      <c r="A100" s="32">
        <v>1</v>
      </c>
      <c r="B100" s="30">
        <f>IF(SUMIFS('RESUMEN DE PUNTOS DE VENTA'!C$7:C$145,'RESUMEN DE PUNTOS DE VENTA'!A$7:A$145,C97,'RESUMEN DE PUNTOS DE VENTA'!C$7:C$145,"2645516") = 2645516, 2645516, IF(SUMIFS('RESUMEN DE PUNTOS DE VENTA'!C$7:C$145,'RESUMEN DE PUNTOS DE VENTA'!A$7:A$145,C97,'RESUMEN DE PUNTOS DE VENTA'!C$7:C$145,"2647973") = 2647973, 2647973, ""))</f>
        <v>2645516</v>
      </c>
      <c r="C100" s="31" t="str">
        <f>IF(B100&lt;&gt;"",UPPER(VLOOKUP(B100,CATALOGO!$A$8:$E$36,3)),"")</f>
        <v>ALMOHADA Y FUNDA BEBE COLORES SURTIDOS DOCOMA</v>
      </c>
      <c r="D100" s="31">
        <f>IF(B100&lt;&gt;"",VLOOKUP(B100,CATALOGO!$A$8:$E$36,2),"")</f>
        <v>7441119600652</v>
      </c>
      <c r="E100" s="29">
        <f>IF(B100&lt;&gt;"",VLOOKUP(B100,CATALOGO!$A$8:$E$36,5),"")</f>
        <v>3</v>
      </c>
      <c r="F100" s="29">
        <f>IF(B100&lt;&gt;"",SUMIFS('RESUMEN DE PUNTOS DE VENTA'!G$7:G$145,'RESUMEN DE PUNTOS DE VENTA'!A$7:A$145,C97,'RESUMEN DE PUNTOS DE VENTA'!C$7:C$145,CROSSDOCKING!B100),"")</f>
        <v>2</v>
      </c>
      <c r="G100" s="107">
        <f>IF(B100&lt;&gt;"",SUMIFS('RESUMEN DE PUNTOS DE VENTA'!H$7:H$145,'RESUMEN DE PUNTOS DE VENTA'!A$7:A$145,C97,'RESUMEN DE PUNTOS DE VENTA'!C$7:C$145,CROSSDOCKING!B100),"")</f>
        <v>1</v>
      </c>
      <c r="H100" s="108" t="e">
        <f>IF(D100&lt;&gt;"",SUMIFS('RESUMEN DE PUNTOS DE VENTA'!#REF!,'RESUMEN DE PUNTOS DE VENTA'!#REF!,E97,'RESUMEN DE PUNTOS DE VENTA'!#REF!,CROSSDOCKING!D100),"")</f>
        <v>#REF!</v>
      </c>
      <c r="I100" s="29">
        <f>IF(B100&lt;&gt;"",F100-G100,"")</f>
        <v>1</v>
      </c>
    </row>
    <row r="101" spans="1:9" s="28" customFormat="1" x14ac:dyDescent="0.2">
      <c r="A101" s="32">
        <v>2</v>
      </c>
      <c r="B101" s="30">
        <f>IF(AND(B100&lt;&gt;"",B100&lt;&gt;2647973),IF(SUMIFS('RESUMEN DE PUNTOS DE VENTA'!C$7:C$145,'RESUMEN DE PUNTOS DE VENTA'!A$7:A$145,C97,'RESUMEN DE PUNTOS DE VENTA'!C$7:C$145,"2647973")=2647973,2647973,""), "")</f>
        <v>2647973</v>
      </c>
      <c r="C101" s="31" t="str">
        <f>IF(B101&lt;&gt;"",UPPER(VLOOKUP(B101,CATALOGO!$A$8:$E$36,3)),"")</f>
        <v>ALMOHADA BEBE SENCILLA ESTAMPADA</v>
      </c>
      <c r="D101" s="31">
        <f>IF(B101&lt;&gt;"",VLOOKUP(B101,CATALOGO!$A$8:$E$36,2),"")</f>
        <v>7441119600768</v>
      </c>
      <c r="E101" s="29">
        <f>IF(B101&lt;&gt;"",VLOOKUP(B101,CATALOGO!$A$8:$E$36,5),"")</f>
        <v>3</v>
      </c>
      <c r="F101" s="29">
        <f>IF(B101&lt;&gt;"",SUMIFS('RESUMEN DE PUNTOS DE VENTA'!G$7:G$145,'RESUMEN DE PUNTOS DE VENTA'!A$7:A$145,C97,'RESUMEN DE PUNTOS DE VENTA'!C$7:C$145,CROSSDOCKING!B101),"")</f>
        <v>7</v>
      </c>
      <c r="G101" s="107">
        <f>IF(B101&lt;&gt;"",SUMIFS('RESUMEN DE PUNTOS DE VENTA'!H$7:H$145,'RESUMEN DE PUNTOS DE VENTA'!A$7:A$145,C97,'RESUMEN DE PUNTOS DE VENTA'!C$7:C$145,CROSSDOCKING!B101),"")</f>
        <v>7</v>
      </c>
      <c r="H101" s="108" t="e">
        <f>IF(D101&lt;&gt;"",SUMIFS('RESUMEN DE PUNTOS DE VENTA'!#REF!,'RESUMEN DE PUNTOS DE VENTA'!#REF!,E98,'RESUMEN DE PUNTOS DE VENTA'!#REF!,CROSSDOCKING!D101),"")</f>
        <v>#REF!</v>
      </c>
      <c r="I101" s="29">
        <f t="shared" ref="I101:I102" si="8">IF(B101&lt;&gt;"",F101-G101,"")</f>
        <v>0</v>
      </c>
    </row>
    <row r="102" spans="1:9" s="28" customFormat="1" x14ac:dyDescent="0.2">
      <c r="A102" s="32">
        <v>3</v>
      </c>
      <c r="B102" s="30"/>
      <c r="C102" s="31" t="str">
        <f>IF(B102&lt;&gt;"",UPPER(VLOOKUP(B102,CATALOGO!$A$8:$E$36,3)),"")</f>
        <v/>
      </c>
      <c r="D102" s="31" t="str">
        <f>IF(B102&lt;&gt;"",VLOOKUP(B102,CATALOGO!$A$8:$E$36,2),"")</f>
        <v/>
      </c>
      <c r="E102" s="29" t="str">
        <f>IF(B102&lt;&gt;"",VLOOKUP(B102,CATALOGO!$A$8:$E$36,5),"")</f>
        <v/>
      </c>
      <c r="F102" s="29" t="str">
        <f>IF(B102&lt;&gt;"",SUMIFS('RESUMEN DE PUNTOS DE VENTA'!G$7:G$145,'RESUMEN DE PUNTOS DE VENTA'!A$7:A$145,C97,'RESUMEN DE PUNTOS DE VENTA'!C$7:C$145,CROSSDOCKING!B102),"")</f>
        <v/>
      </c>
      <c r="G102" s="107" t="str">
        <f>IF(B102&lt;&gt;"",SUMIFS('RESUMEN DE PUNTOS DE VENTA'!H$7:H$145,'RESUMEN DE PUNTOS DE VENTA'!A$7:A$145,C97,'RESUMEN DE PUNTOS DE VENTA'!C$7:C$145,CROSSDOCKING!B102),"")</f>
        <v/>
      </c>
      <c r="H102" s="108" t="str">
        <f>IF(D102&lt;&gt;"",SUMIFS('RESUMEN DE PUNTOS DE VENTA'!#REF!,'RESUMEN DE PUNTOS DE VENTA'!#REF!,E99,'RESUMEN DE PUNTOS DE VENTA'!#REF!,CROSSDOCKING!D102),"")</f>
        <v/>
      </c>
      <c r="I102" s="29" t="str">
        <f t="shared" si="8"/>
        <v/>
      </c>
    </row>
    <row r="103" spans="1:9" s="28" customFormat="1" x14ac:dyDescent="0.2">
      <c r="A103" s="109" t="s">
        <v>67</v>
      </c>
      <c r="B103" s="110"/>
      <c r="C103" s="110"/>
      <c r="D103" s="110"/>
      <c r="E103" s="111"/>
      <c r="F103" s="29">
        <f>SUM(F100:F102)</f>
        <v>9</v>
      </c>
      <c r="G103" s="107">
        <f>SUM(G100:G102)</f>
        <v>8</v>
      </c>
      <c r="H103" s="108"/>
      <c r="I103" s="29">
        <f>SUM(I100:I102)</f>
        <v>1</v>
      </c>
    </row>
    <row r="104" spans="1:9" s="28" customFormat="1" ht="15" customHeight="1" x14ac:dyDescent="0.2">
      <c r="A104" s="134" t="s">
        <v>150</v>
      </c>
      <c r="B104" s="135"/>
      <c r="C104" s="52">
        <f>COUNTIF($A$1:I103, "TOTAL")</f>
        <v>9</v>
      </c>
      <c r="D104" s="135" t="s">
        <v>146</v>
      </c>
      <c r="E104" s="135"/>
      <c r="F104" s="136">
        <f>CAJAS!$C$21</f>
        <v>33</v>
      </c>
      <c r="G104" s="136"/>
      <c r="H104" s="136"/>
      <c r="I104" s="137"/>
    </row>
    <row r="105" spans="1:9" s="28" customFormat="1" ht="10" customHeight="1" thickBot="1" x14ac:dyDescent="0.25">
      <c r="A105" s="138"/>
      <c r="B105" s="138"/>
      <c r="C105" s="138"/>
      <c r="D105" s="138"/>
      <c r="E105" s="138"/>
      <c r="F105" s="138"/>
      <c r="G105" s="138"/>
      <c r="H105" s="138"/>
      <c r="I105" s="138"/>
    </row>
    <row r="106" spans="1:9" s="28" customFormat="1" ht="10" customHeight="1" thickTop="1" x14ac:dyDescent="0.2">
      <c r="A106" s="115"/>
      <c r="B106" s="115"/>
      <c r="C106" s="115"/>
      <c r="D106" s="115"/>
      <c r="E106" s="115"/>
      <c r="F106" s="115"/>
      <c r="G106" s="115"/>
      <c r="H106" s="115"/>
      <c r="I106" s="115"/>
    </row>
    <row r="107" spans="1:9" s="28" customFormat="1" ht="16" x14ac:dyDescent="0.2">
      <c r="A107" s="116" t="s">
        <v>59</v>
      </c>
      <c r="B107" s="117"/>
      <c r="C107" s="117"/>
      <c r="D107" s="117"/>
      <c r="E107" s="117"/>
      <c r="F107" s="117"/>
      <c r="G107" s="117"/>
      <c r="H107" s="117"/>
      <c r="I107" s="118"/>
    </row>
    <row r="108" spans="1:9" s="28" customFormat="1" ht="16" x14ac:dyDescent="0.2">
      <c r="A108" s="119" t="s">
        <v>60</v>
      </c>
      <c r="B108" s="120"/>
      <c r="C108" s="120"/>
      <c r="D108" s="120"/>
      <c r="E108" s="120"/>
      <c r="F108" s="120"/>
      <c r="G108" s="120"/>
      <c r="H108" s="120"/>
      <c r="I108" s="121"/>
    </row>
    <row r="109" spans="1:9" s="28" customFormat="1" ht="18.75" customHeight="1" x14ac:dyDescent="0.2">
      <c r="A109" s="122" t="s">
        <v>61</v>
      </c>
      <c r="B109" s="123"/>
      <c r="C109" s="69">
        <v>4006</v>
      </c>
      <c r="D109" s="53" t="s">
        <v>244</v>
      </c>
      <c r="E109" s="124" t="str">
        <f>VLOOKUP(C109,'PUNTOS DE VENTA'!$A$1:$C$75,3)</f>
        <v>XA094</v>
      </c>
      <c r="F109" s="125"/>
      <c r="G109" s="70" t="s">
        <v>62</v>
      </c>
      <c r="H109" s="126">
        <f>'RESUMEN DE PUNTOS DE VENTA'!$C$4</f>
        <v>2900678609</v>
      </c>
      <c r="I109" s="127"/>
    </row>
    <row r="110" spans="1:9" s="28" customFormat="1" ht="18.75" customHeight="1" x14ac:dyDescent="0.2">
      <c r="A110" s="122" t="s">
        <v>63</v>
      </c>
      <c r="B110" s="123"/>
      <c r="C110" s="128" t="str">
        <f>UPPER(VLOOKUP(C109,'PUNTOS DE VENTA'!$A$1:$B$75,2))</f>
        <v>WALMART CARTAGO</v>
      </c>
      <c r="D110" s="128"/>
      <c r="E110" s="128"/>
      <c r="F110" s="128"/>
      <c r="G110" s="128"/>
      <c r="H110" s="128"/>
      <c r="I110" s="129"/>
    </row>
    <row r="111" spans="1:9" s="28" customFormat="1" ht="22.5" customHeight="1" x14ac:dyDescent="0.2">
      <c r="A111" s="130" t="s">
        <v>7</v>
      </c>
      <c r="B111" s="131"/>
      <c r="C111" s="71" t="s">
        <v>28</v>
      </c>
      <c r="D111" s="72" t="s">
        <v>11</v>
      </c>
      <c r="E111" s="72" t="s">
        <v>8</v>
      </c>
      <c r="F111" s="73" t="s">
        <v>64</v>
      </c>
      <c r="G111" s="132" t="s">
        <v>65</v>
      </c>
      <c r="H111" s="133"/>
      <c r="I111" s="74" t="s">
        <v>66</v>
      </c>
    </row>
    <row r="112" spans="1:9" s="28" customFormat="1" x14ac:dyDescent="0.2">
      <c r="A112" s="32">
        <v>1</v>
      </c>
      <c r="B112" s="30">
        <f>IF(SUMIFS('RESUMEN DE PUNTOS DE VENTA'!C$7:C$145,'RESUMEN DE PUNTOS DE VENTA'!A$7:A$145,C109,'RESUMEN DE PUNTOS DE VENTA'!C$7:C$145,"2645516") = 2645516, 2645516, IF(SUMIFS('RESUMEN DE PUNTOS DE VENTA'!C$7:C$145,'RESUMEN DE PUNTOS DE VENTA'!A$7:A$145,C109,'RESUMEN DE PUNTOS DE VENTA'!C$7:C$145,"2647973") = 2647973, 2647973, ""))</f>
        <v>2645516</v>
      </c>
      <c r="C112" s="31" t="str">
        <f>IF(B112&lt;&gt;"",UPPER(VLOOKUP(B112,CATALOGO!$A$8:$E$36,3)),"")</f>
        <v>ALMOHADA Y FUNDA BEBE COLORES SURTIDOS DOCOMA</v>
      </c>
      <c r="D112" s="31">
        <f>IF(B112&lt;&gt;"",VLOOKUP(B112,CATALOGO!$A$8:$E$36,2),"")</f>
        <v>7441119600652</v>
      </c>
      <c r="E112" s="29">
        <f>IF(B112&lt;&gt;"",VLOOKUP(B112,CATALOGO!$A$8:$E$36,5),"")</f>
        <v>3</v>
      </c>
      <c r="F112" s="29">
        <f>IF(B112&lt;&gt;"",SUMIFS('RESUMEN DE PUNTOS DE VENTA'!G$7:G$145,'RESUMEN DE PUNTOS DE VENTA'!A$7:A$145,C109,'RESUMEN DE PUNTOS DE VENTA'!C$7:C$145,CROSSDOCKING!B112),"")</f>
        <v>1</v>
      </c>
      <c r="G112" s="107">
        <f>IF(B112&lt;&gt;"",SUMIFS('RESUMEN DE PUNTOS DE VENTA'!H$7:H$145,'RESUMEN DE PUNTOS DE VENTA'!A$7:A$145,C109,'RESUMEN DE PUNTOS DE VENTA'!C$7:C$145,CROSSDOCKING!B112),"")</f>
        <v>1</v>
      </c>
      <c r="H112" s="108" t="e">
        <f>IF(D112&lt;&gt;"",SUMIFS('RESUMEN DE PUNTOS DE VENTA'!#REF!,'RESUMEN DE PUNTOS DE VENTA'!#REF!,E109,'RESUMEN DE PUNTOS DE VENTA'!#REF!,CROSSDOCKING!D112),"")</f>
        <v>#REF!</v>
      </c>
      <c r="I112" s="29">
        <f>IF(B112&lt;&gt;"",F112-G112,"")</f>
        <v>0</v>
      </c>
    </row>
    <row r="113" spans="1:9" s="28" customFormat="1" x14ac:dyDescent="0.2">
      <c r="A113" s="32">
        <v>2</v>
      </c>
      <c r="B113" s="30" t="str">
        <f>IF(AND(B112&lt;&gt;"",B112&lt;&gt;2647973),IF(SUMIFS('RESUMEN DE PUNTOS DE VENTA'!C$7:C$145,'RESUMEN DE PUNTOS DE VENTA'!A$7:A$145,C109,'RESUMEN DE PUNTOS DE VENTA'!C$7:C$145,"2647973")=2647973,2647973,""), "")</f>
        <v/>
      </c>
      <c r="C113" s="31" t="str">
        <f>IF(B113&lt;&gt;"",UPPER(VLOOKUP(B113,CATALOGO!$A$8:$E$36,3)),"")</f>
        <v/>
      </c>
      <c r="D113" s="31" t="str">
        <f>IF(B113&lt;&gt;"",VLOOKUP(B113,CATALOGO!$A$8:$E$36,2),"")</f>
        <v/>
      </c>
      <c r="E113" s="29" t="str">
        <f>IF(B113&lt;&gt;"",VLOOKUP(B113,CATALOGO!$A$8:$E$36,5),"")</f>
        <v/>
      </c>
      <c r="F113" s="29" t="str">
        <f>IF(B113&lt;&gt;"",SUMIFS('RESUMEN DE PUNTOS DE VENTA'!G$7:G$145,'RESUMEN DE PUNTOS DE VENTA'!A$7:A$145,C109,'RESUMEN DE PUNTOS DE VENTA'!C$7:C$145,CROSSDOCKING!B113),"")</f>
        <v/>
      </c>
      <c r="G113" s="107" t="str">
        <f>IF(B113&lt;&gt;"",SUMIFS('RESUMEN DE PUNTOS DE VENTA'!H$7:H$145,'RESUMEN DE PUNTOS DE VENTA'!A$7:A$145,C109,'RESUMEN DE PUNTOS DE VENTA'!C$7:C$145,CROSSDOCKING!B113),"")</f>
        <v/>
      </c>
      <c r="H113" s="108" t="str">
        <f>IF(D113&lt;&gt;"",SUMIFS('RESUMEN DE PUNTOS DE VENTA'!#REF!,'RESUMEN DE PUNTOS DE VENTA'!#REF!,E110,'RESUMEN DE PUNTOS DE VENTA'!#REF!,CROSSDOCKING!D113),"")</f>
        <v/>
      </c>
      <c r="I113" s="29" t="str">
        <f t="shared" ref="I113:I114" si="9">IF(B113&lt;&gt;"",F113-G113,"")</f>
        <v/>
      </c>
    </row>
    <row r="114" spans="1:9" s="28" customFormat="1" x14ac:dyDescent="0.2">
      <c r="A114" s="32">
        <v>3</v>
      </c>
      <c r="B114" s="30"/>
      <c r="C114" s="31" t="str">
        <f>IF(B114&lt;&gt;"",UPPER(VLOOKUP(B114,CATALOGO!$A$8:$E$36,3)),"")</f>
        <v/>
      </c>
      <c r="D114" s="31" t="str">
        <f>IF(B114&lt;&gt;"",VLOOKUP(B114,CATALOGO!$A$8:$E$36,2),"")</f>
        <v/>
      </c>
      <c r="E114" s="29" t="str">
        <f>IF(B114&lt;&gt;"",VLOOKUP(B114,CATALOGO!$A$8:$E$36,5),"")</f>
        <v/>
      </c>
      <c r="F114" s="29" t="str">
        <f>IF(B114&lt;&gt;"",SUMIFS('RESUMEN DE PUNTOS DE VENTA'!G$7:G$145,'RESUMEN DE PUNTOS DE VENTA'!A$7:A$145,C109,'RESUMEN DE PUNTOS DE VENTA'!C$7:C$145,CROSSDOCKING!B114),"")</f>
        <v/>
      </c>
      <c r="G114" s="107" t="str">
        <f>IF(B114&lt;&gt;"",SUMIFS('RESUMEN DE PUNTOS DE VENTA'!H$7:H$145,'RESUMEN DE PUNTOS DE VENTA'!A$7:A$145,C109,'RESUMEN DE PUNTOS DE VENTA'!C$7:C$145,CROSSDOCKING!B114),"")</f>
        <v/>
      </c>
      <c r="H114" s="108" t="str">
        <f>IF(D114&lt;&gt;"",SUMIFS('RESUMEN DE PUNTOS DE VENTA'!#REF!,'RESUMEN DE PUNTOS DE VENTA'!#REF!,E111,'RESUMEN DE PUNTOS DE VENTA'!#REF!,CROSSDOCKING!D114),"")</f>
        <v/>
      </c>
      <c r="I114" s="29" t="str">
        <f t="shared" si="9"/>
        <v/>
      </c>
    </row>
    <row r="115" spans="1:9" s="28" customFormat="1" ht="15" customHeight="1" x14ac:dyDescent="0.2">
      <c r="A115" s="109" t="s">
        <v>67</v>
      </c>
      <c r="B115" s="110"/>
      <c r="C115" s="110"/>
      <c r="D115" s="110"/>
      <c r="E115" s="111"/>
      <c r="F115" s="29">
        <f>SUM(F112:F114)</f>
        <v>1</v>
      </c>
      <c r="G115" s="107">
        <f>SUM(G112:G114)</f>
        <v>1</v>
      </c>
      <c r="H115" s="108"/>
      <c r="I115" s="29">
        <f>SUM(I112:I114)</f>
        <v>0</v>
      </c>
    </row>
    <row r="116" spans="1:9" s="28" customFormat="1" ht="15" customHeight="1" x14ac:dyDescent="0.2">
      <c r="A116" s="134" t="s">
        <v>150</v>
      </c>
      <c r="B116" s="135"/>
      <c r="C116" s="52">
        <f>COUNTIF($A$1:I115, "TOTAL")</f>
        <v>10</v>
      </c>
      <c r="D116" s="135" t="s">
        <v>146</v>
      </c>
      <c r="E116" s="135"/>
      <c r="F116" s="136">
        <f>CAJAS!$C$21</f>
        <v>33</v>
      </c>
      <c r="G116" s="136"/>
      <c r="H116" s="136"/>
      <c r="I116" s="137"/>
    </row>
    <row r="117" spans="1:9" s="28" customFormat="1" ht="10" customHeight="1" thickBot="1" x14ac:dyDescent="0.25">
      <c r="A117" s="138"/>
      <c r="B117" s="138"/>
      <c r="C117" s="138"/>
      <c r="D117" s="138"/>
      <c r="E117" s="138"/>
      <c r="F117" s="138"/>
      <c r="G117" s="138"/>
      <c r="H117" s="138"/>
      <c r="I117" s="138"/>
    </row>
    <row r="118" spans="1:9" s="28" customFormat="1" ht="10" customHeight="1" thickTop="1" x14ac:dyDescent="0.2">
      <c r="A118" s="115"/>
      <c r="B118" s="115"/>
      <c r="C118" s="115"/>
      <c r="D118" s="115"/>
      <c r="E118" s="115"/>
      <c r="F118" s="115"/>
      <c r="G118" s="115"/>
      <c r="H118" s="115"/>
      <c r="I118" s="115"/>
    </row>
    <row r="119" spans="1:9" s="28" customFormat="1" ht="16" x14ac:dyDescent="0.2">
      <c r="A119" s="116" t="s">
        <v>59</v>
      </c>
      <c r="B119" s="117"/>
      <c r="C119" s="117"/>
      <c r="D119" s="117"/>
      <c r="E119" s="117"/>
      <c r="F119" s="117"/>
      <c r="G119" s="117"/>
      <c r="H119" s="117"/>
      <c r="I119" s="118"/>
    </row>
    <row r="120" spans="1:9" s="28" customFormat="1" ht="16" x14ac:dyDescent="0.2">
      <c r="A120" s="119" t="s">
        <v>60</v>
      </c>
      <c r="B120" s="120"/>
      <c r="C120" s="120"/>
      <c r="D120" s="120"/>
      <c r="E120" s="120"/>
      <c r="F120" s="120"/>
      <c r="G120" s="120"/>
      <c r="H120" s="120"/>
      <c r="I120" s="121"/>
    </row>
    <row r="121" spans="1:9" s="28" customFormat="1" ht="18.75" customHeight="1" x14ac:dyDescent="0.2">
      <c r="A121" s="122" t="s">
        <v>61</v>
      </c>
      <c r="B121" s="123"/>
      <c r="C121" s="69">
        <v>4031</v>
      </c>
      <c r="D121" s="53" t="s">
        <v>244</v>
      </c>
      <c r="E121" s="124" t="str">
        <f>VLOOKUP(C121,'PUNTOS DE VENTA'!$A$1:$C$75,3)</f>
        <v>XA266</v>
      </c>
      <c r="F121" s="125"/>
      <c r="G121" s="70" t="s">
        <v>62</v>
      </c>
      <c r="H121" s="126">
        <f>'RESUMEN DE PUNTOS DE VENTA'!$C$4</f>
        <v>2900678609</v>
      </c>
      <c r="I121" s="127"/>
    </row>
    <row r="122" spans="1:9" s="28" customFormat="1" ht="18.75" customHeight="1" x14ac:dyDescent="0.2">
      <c r="A122" s="122" t="s">
        <v>63</v>
      </c>
      <c r="B122" s="123"/>
      <c r="C122" s="128" t="str">
        <f>UPPER(VLOOKUP(C121,'PUNTOS DE VENTA'!$A$1:$B$75,2))</f>
        <v>MAXI SAN RAMON</v>
      </c>
      <c r="D122" s="128"/>
      <c r="E122" s="128"/>
      <c r="F122" s="128"/>
      <c r="G122" s="128"/>
      <c r="H122" s="128"/>
      <c r="I122" s="129"/>
    </row>
    <row r="123" spans="1:9" s="28" customFormat="1" ht="22.5" customHeight="1" x14ac:dyDescent="0.2">
      <c r="A123" s="130" t="s">
        <v>7</v>
      </c>
      <c r="B123" s="131"/>
      <c r="C123" s="71" t="s">
        <v>28</v>
      </c>
      <c r="D123" s="72" t="s">
        <v>11</v>
      </c>
      <c r="E123" s="72" t="s">
        <v>8</v>
      </c>
      <c r="F123" s="73" t="s">
        <v>64</v>
      </c>
      <c r="G123" s="132" t="s">
        <v>65</v>
      </c>
      <c r="H123" s="133"/>
      <c r="I123" s="74" t="s">
        <v>66</v>
      </c>
    </row>
    <row r="124" spans="1:9" s="28" customFormat="1" x14ac:dyDescent="0.2">
      <c r="A124" s="32">
        <v>1</v>
      </c>
      <c r="B124" s="30">
        <f>IF(SUMIFS('RESUMEN DE PUNTOS DE VENTA'!C$7:C$145,'RESUMEN DE PUNTOS DE VENTA'!A$7:A$145,C121,'RESUMEN DE PUNTOS DE VENTA'!C$7:C$145,"2645516") = 2645516, 2645516, IF(SUMIFS('RESUMEN DE PUNTOS DE VENTA'!C$7:C$145,'RESUMEN DE PUNTOS DE VENTA'!A$7:A$145,C121,'RESUMEN DE PUNTOS DE VENTA'!C$7:C$145,"2647973") = 2647973, 2647973, ""))</f>
        <v>2647973</v>
      </c>
      <c r="C124" s="31" t="str">
        <f>IF(B124&lt;&gt;"",UPPER(VLOOKUP(B124,CATALOGO!$A$8:$E$36,3)),"")</f>
        <v>ALMOHADA BEBE SENCILLA ESTAMPADA</v>
      </c>
      <c r="D124" s="31">
        <f>IF(B124&lt;&gt;"",VLOOKUP(B124,CATALOGO!$A$8:$E$36,2),"")</f>
        <v>7441119600768</v>
      </c>
      <c r="E124" s="29">
        <f>IF(B124&lt;&gt;"",VLOOKUP(B124,CATALOGO!$A$8:$E$36,5),"")</f>
        <v>3</v>
      </c>
      <c r="F124" s="29">
        <f>IF(B124&lt;&gt;"",SUMIFS('RESUMEN DE PUNTOS DE VENTA'!G$7:G$145,'RESUMEN DE PUNTOS DE VENTA'!A$7:A$145,C121,'RESUMEN DE PUNTOS DE VENTA'!C$7:C$145,CROSSDOCKING!B124),"")</f>
        <v>1</v>
      </c>
      <c r="G124" s="107">
        <f>IF(B124&lt;&gt;"",SUMIFS('RESUMEN DE PUNTOS DE VENTA'!H$7:H$145,'RESUMEN DE PUNTOS DE VENTA'!A$7:A$145,C121,'RESUMEN DE PUNTOS DE VENTA'!C$7:C$145,CROSSDOCKING!B124),"")</f>
        <v>1</v>
      </c>
      <c r="H124" s="108" t="e">
        <f>IF(D124&lt;&gt;"",SUMIFS('RESUMEN DE PUNTOS DE VENTA'!#REF!,'RESUMEN DE PUNTOS DE VENTA'!#REF!,E121,'RESUMEN DE PUNTOS DE VENTA'!#REF!,CROSSDOCKING!D124),"")</f>
        <v>#REF!</v>
      </c>
      <c r="I124" s="29">
        <f>IF(B124&lt;&gt;"",F124-G124,"")</f>
        <v>0</v>
      </c>
    </row>
    <row r="125" spans="1:9" s="28" customFormat="1" x14ac:dyDescent="0.2">
      <c r="A125" s="32">
        <v>2</v>
      </c>
      <c r="B125" s="30" t="str">
        <f>IF(AND(B124&lt;&gt;"",B124&lt;&gt;2647973),IF(SUMIFS('RESUMEN DE PUNTOS DE VENTA'!C$7:C$145,'RESUMEN DE PUNTOS DE VENTA'!A$7:A$145,C121,'RESUMEN DE PUNTOS DE VENTA'!C$7:C$145,"2647973")=2647973,2647973,""), "")</f>
        <v/>
      </c>
      <c r="C125" s="31" t="str">
        <f>IF(B125&lt;&gt;"",UPPER(VLOOKUP(B125,CATALOGO!$A$8:$E$36,3)),"")</f>
        <v/>
      </c>
      <c r="D125" s="31" t="str">
        <f>IF(B125&lt;&gt;"",VLOOKUP(B125,CATALOGO!$A$8:$E$36,2),"")</f>
        <v/>
      </c>
      <c r="E125" s="29" t="str">
        <f>IF(B125&lt;&gt;"",VLOOKUP(B125,CATALOGO!$A$8:$E$36,5),"")</f>
        <v/>
      </c>
      <c r="F125" s="29" t="str">
        <f>IF(B125&lt;&gt;"",SUMIFS('RESUMEN DE PUNTOS DE VENTA'!G$7:G$145,'RESUMEN DE PUNTOS DE VENTA'!A$7:A$145,C121,'RESUMEN DE PUNTOS DE VENTA'!C$7:C$145,CROSSDOCKING!B125),"")</f>
        <v/>
      </c>
      <c r="G125" s="107" t="str">
        <f>IF(B125&lt;&gt;"",SUMIFS('RESUMEN DE PUNTOS DE VENTA'!H$7:H$145,'RESUMEN DE PUNTOS DE VENTA'!A$7:A$145,C121,'RESUMEN DE PUNTOS DE VENTA'!C$7:C$145,CROSSDOCKING!B125),"")</f>
        <v/>
      </c>
      <c r="H125" s="108" t="str">
        <f>IF(D125&lt;&gt;"",SUMIFS('RESUMEN DE PUNTOS DE VENTA'!#REF!,'RESUMEN DE PUNTOS DE VENTA'!#REF!,E122,'RESUMEN DE PUNTOS DE VENTA'!#REF!,CROSSDOCKING!D125),"")</f>
        <v/>
      </c>
      <c r="I125" s="29" t="str">
        <f t="shared" ref="I125:I126" si="10">IF(B125&lt;&gt;"",F125-G125,"")</f>
        <v/>
      </c>
    </row>
    <row r="126" spans="1:9" s="28" customFormat="1" x14ac:dyDescent="0.2">
      <c r="A126" s="32">
        <v>3</v>
      </c>
      <c r="B126" s="30"/>
      <c r="C126" s="31" t="str">
        <f>IF(B126&lt;&gt;"",UPPER(VLOOKUP(B126,CATALOGO!$A$8:$E$36,3)),"")</f>
        <v/>
      </c>
      <c r="D126" s="31" t="str">
        <f>IF(B126&lt;&gt;"",VLOOKUP(B126,CATALOGO!$A$8:$E$36,2),"")</f>
        <v/>
      </c>
      <c r="E126" s="29" t="str">
        <f>IF(B126&lt;&gt;"",VLOOKUP(B126,CATALOGO!$A$8:$E$36,5),"")</f>
        <v/>
      </c>
      <c r="F126" s="29" t="str">
        <f>IF(B126&lt;&gt;"",SUMIFS('RESUMEN DE PUNTOS DE VENTA'!G$7:G$145,'RESUMEN DE PUNTOS DE VENTA'!A$7:A$145,C121,'RESUMEN DE PUNTOS DE VENTA'!C$7:C$145,CROSSDOCKING!B126),"")</f>
        <v/>
      </c>
      <c r="G126" s="107" t="str">
        <f>IF(B126&lt;&gt;"",SUMIFS('RESUMEN DE PUNTOS DE VENTA'!H$7:H$145,'RESUMEN DE PUNTOS DE VENTA'!A$7:A$145,C121,'RESUMEN DE PUNTOS DE VENTA'!C$7:C$145,CROSSDOCKING!B126),"")</f>
        <v/>
      </c>
      <c r="H126" s="108" t="str">
        <f>IF(D126&lt;&gt;"",SUMIFS('RESUMEN DE PUNTOS DE VENTA'!#REF!,'RESUMEN DE PUNTOS DE VENTA'!#REF!,E123,'RESUMEN DE PUNTOS DE VENTA'!#REF!,CROSSDOCKING!D126),"")</f>
        <v/>
      </c>
      <c r="I126" s="29" t="str">
        <f t="shared" si="10"/>
        <v/>
      </c>
    </row>
    <row r="127" spans="1:9" s="28" customFormat="1" x14ac:dyDescent="0.2">
      <c r="A127" s="109" t="s">
        <v>67</v>
      </c>
      <c r="B127" s="110"/>
      <c r="C127" s="110"/>
      <c r="D127" s="110"/>
      <c r="E127" s="111"/>
      <c r="F127" s="29">
        <f>SUM(F124:F126)</f>
        <v>1</v>
      </c>
      <c r="G127" s="107">
        <f>SUM(G124:G126)</f>
        <v>1</v>
      </c>
      <c r="H127" s="108"/>
      <c r="I127" s="29">
        <f>SUM(I124:I126)</f>
        <v>0</v>
      </c>
    </row>
    <row r="128" spans="1:9" s="28" customFormat="1" ht="15" customHeight="1" x14ac:dyDescent="0.2">
      <c r="A128" s="134" t="s">
        <v>150</v>
      </c>
      <c r="B128" s="135"/>
      <c r="C128" s="52">
        <f>COUNTIF($A$1:I127, "TOTAL")</f>
        <v>11</v>
      </c>
      <c r="D128" s="135" t="s">
        <v>146</v>
      </c>
      <c r="E128" s="135"/>
      <c r="F128" s="136">
        <f>CAJAS!$C$21</f>
        <v>33</v>
      </c>
      <c r="G128" s="136"/>
      <c r="H128" s="136"/>
      <c r="I128" s="137"/>
    </row>
    <row r="129" spans="1:9" s="28" customFormat="1" ht="10" customHeight="1" thickBot="1" x14ac:dyDescent="0.25">
      <c r="A129" s="138"/>
      <c r="B129" s="138"/>
      <c r="C129" s="138"/>
      <c r="D129" s="138"/>
      <c r="E129" s="138"/>
      <c r="F129" s="138"/>
      <c r="G129" s="138"/>
      <c r="H129" s="138"/>
      <c r="I129" s="138"/>
    </row>
    <row r="130" spans="1:9" s="28" customFormat="1" ht="10" customHeight="1" thickTop="1" x14ac:dyDescent="0.2">
      <c r="A130" s="115"/>
      <c r="B130" s="115"/>
      <c r="C130" s="115"/>
      <c r="D130" s="115"/>
      <c r="E130" s="115"/>
      <c r="F130" s="115"/>
      <c r="G130" s="115"/>
      <c r="H130" s="115"/>
      <c r="I130" s="115"/>
    </row>
    <row r="131" spans="1:9" s="28" customFormat="1" ht="16" x14ac:dyDescent="0.2">
      <c r="A131" s="116" t="s">
        <v>59</v>
      </c>
      <c r="B131" s="117"/>
      <c r="C131" s="117"/>
      <c r="D131" s="117"/>
      <c r="E131" s="117"/>
      <c r="F131" s="117"/>
      <c r="G131" s="117"/>
      <c r="H131" s="117"/>
      <c r="I131" s="118"/>
    </row>
    <row r="132" spans="1:9" s="28" customFormat="1" ht="16" x14ac:dyDescent="0.2">
      <c r="A132" s="119" t="s">
        <v>60</v>
      </c>
      <c r="B132" s="120"/>
      <c r="C132" s="120"/>
      <c r="D132" s="120"/>
      <c r="E132" s="120"/>
      <c r="F132" s="120"/>
      <c r="G132" s="120"/>
      <c r="H132" s="120"/>
      <c r="I132" s="121"/>
    </row>
    <row r="133" spans="1:9" s="28" customFormat="1" ht="18.75" customHeight="1" x14ac:dyDescent="0.2">
      <c r="A133" s="122" t="s">
        <v>61</v>
      </c>
      <c r="B133" s="123"/>
      <c r="C133" s="69">
        <v>4075</v>
      </c>
      <c r="D133" s="53" t="s">
        <v>244</v>
      </c>
      <c r="E133" s="124" t="str">
        <f>VLOOKUP(C133,'PUNTOS DE VENTA'!$A$1:$C$75,3)</f>
        <v>XA089</v>
      </c>
      <c r="F133" s="125"/>
      <c r="G133" s="70" t="s">
        <v>62</v>
      </c>
      <c r="H133" s="126">
        <f>'RESUMEN DE PUNTOS DE VENTA'!$C$4</f>
        <v>2900678609</v>
      </c>
      <c r="I133" s="127"/>
    </row>
    <row r="134" spans="1:9" s="28" customFormat="1" ht="18.75" customHeight="1" x14ac:dyDescent="0.2">
      <c r="A134" s="122" t="s">
        <v>63</v>
      </c>
      <c r="B134" s="123"/>
      <c r="C134" s="128" t="str">
        <f>UPPER(VLOOKUP(C133,'PUNTOS DE VENTA'!$A$1:$B$75,2))</f>
        <v>MAXI PUNTARENAS</v>
      </c>
      <c r="D134" s="128"/>
      <c r="E134" s="128"/>
      <c r="F134" s="128"/>
      <c r="G134" s="128"/>
      <c r="H134" s="128"/>
      <c r="I134" s="129"/>
    </row>
    <row r="135" spans="1:9" s="28" customFormat="1" ht="22.5" customHeight="1" x14ac:dyDescent="0.2">
      <c r="A135" s="130" t="s">
        <v>7</v>
      </c>
      <c r="B135" s="131"/>
      <c r="C135" s="71" t="s">
        <v>28</v>
      </c>
      <c r="D135" s="72" t="s">
        <v>11</v>
      </c>
      <c r="E135" s="72" t="s">
        <v>8</v>
      </c>
      <c r="F135" s="73" t="s">
        <v>64</v>
      </c>
      <c r="G135" s="132" t="s">
        <v>65</v>
      </c>
      <c r="H135" s="133"/>
      <c r="I135" s="74" t="s">
        <v>66</v>
      </c>
    </row>
    <row r="136" spans="1:9" s="28" customFormat="1" x14ac:dyDescent="0.2">
      <c r="A136" s="32">
        <v>1</v>
      </c>
      <c r="B136" s="30">
        <f>IF(SUMIFS('RESUMEN DE PUNTOS DE VENTA'!C$7:C$145,'RESUMEN DE PUNTOS DE VENTA'!A$7:A$145,C133,'RESUMEN DE PUNTOS DE VENTA'!C$7:C$145,"2645516") = 2645516, 2645516, IF(SUMIFS('RESUMEN DE PUNTOS DE VENTA'!C$7:C$145,'RESUMEN DE PUNTOS DE VENTA'!A$7:A$145,C133,'RESUMEN DE PUNTOS DE VENTA'!C$7:C$145,"2647973") = 2647973, 2647973, ""))</f>
        <v>2645516</v>
      </c>
      <c r="C136" s="31" t="str">
        <f>IF(B136&lt;&gt;"",UPPER(VLOOKUP(B136,CATALOGO!$A$8:$E$36,3)),"")</f>
        <v>ALMOHADA Y FUNDA BEBE COLORES SURTIDOS DOCOMA</v>
      </c>
      <c r="D136" s="31">
        <f>IF(B136&lt;&gt;"",VLOOKUP(B136,CATALOGO!$A$8:$E$36,2),"")</f>
        <v>7441119600652</v>
      </c>
      <c r="E136" s="29">
        <f>IF(B136&lt;&gt;"",VLOOKUP(B136,CATALOGO!$A$8:$E$36,5),"")</f>
        <v>3</v>
      </c>
      <c r="F136" s="29">
        <f>IF(B136&lt;&gt;"",SUMIFS('RESUMEN DE PUNTOS DE VENTA'!G$7:G$145,'RESUMEN DE PUNTOS DE VENTA'!A$7:A$145,C133,'RESUMEN DE PUNTOS DE VENTA'!C$7:C$145,CROSSDOCKING!B136),"")</f>
        <v>1</v>
      </c>
      <c r="G136" s="107">
        <f>IF(B136&lt;&gt;"",SUMIFS('RESUMEN DE PUNTOS DE VENTA'!H$7:H$145,'RESUMEN DE PUNTOS DE VENTA'!A$7:A$145,C133,'RESUMEN DE PUNTOS DE VENTA'!C$7:C$145,CROSSDOCKING!B136),"")</f>
        <v>1</v>
      </c>
      <c r="H136" s="108" t="e">
        <f>IF(D136&lt;&gt;"",SUMIFS('RESUMEN DE PUNTOS DE VENTA'!#REF!,'RESUMEN DE PUNTOS DE VENTA'!#REF!,E133,'RESUMEN DE PUNTOS DE VENTA'!#REF!,CROSSDOCKING!D136),"")</f>
        <v>#REF!</v>
      </c>
      <c r="I136" s="29">
        <f>IF(B136&lt;&gt;"",F136-G136,"")</f>
        <v>0</v>
      </c>
    </row>
    <row r="137" spans="1:9" s="28" customFormat="1" x14ac:dyDescent="0.2">
      <c r="A137" s="32">
        <v>2</v>
      </c>
      <c r="B137" s="30" t="str">
        <f>IF(AND(B136&lt;&gt;"",B136&lt;&gt;2647973),IF(SUMIFS('RESUMEN DE PUNTOS DE VENTA'!C$7:C$145,'RESUMEN DE PUNTOS DE VENTA'!A$7:A$145,C133,'RESUMEN DE PUNTOS DE VENTA'!C$7:C$145,"2647973")=2647973,2647973,""), "")</f>
        <v/>
      </c>
      <c r="C137" s="31" t="str">
        <f>IF(B137&lt;&gt;"",UPPER(VLOOKUP(B137,CATALOGO!$A$8:$E$36,3)),"")</f>
        <v/>
      </c>
      <c r="D137" s="31" t="str">
        <f>IF(B137&lt;&gt;"",VLOOKUP(B137,CATALOGO!$A$8:$E$36,2),"")</f>
        <v/>
      </c>
      <c r="E137" s="29" t="str">
        <f>IF(B137&lt;&gt;"",VLOOKUP(B137,CATALOGO!$A$8:$E$36,5),"")</f>
        <v/>
      </c>
      <c r="F137" s="29" t="str">
        <f>IF(B137&lt;&gt;"",SUMIFS('RESUMEN DE PUNTOS DE VENTA'!G$7:G$145,'RESUMEN DE PUNTOS DE VENTA'!A$7:A$145,C133,'RESUMEN DE PUNTOS DE VENTA'!C$7:C$145,CROSSDOCKING!B137),"")</f>
        <v/>
      </c>
      <c r="G137" s="107" t="str">
        <f>IF(B137&lt;&gt;"",SUMIFS('RESUMEN DE PUNTOS DE VENTA'!H$7:H$145,'RESUMEN DE PUNTOS DE VENTA'!A$7:A$145,C133,'RESUMEN DE PUNTOS DE VENTA'!C$7:C$145,CROSSDOCKING!B137),"")</f>
        <v/>
      </c>
      <c r="H137" s="108" t="str">
        <f>IF(D137&lt;&gt;"",SUMIFS('RESUMEN DE PUNTOS DE VENTA'!#REF!,'RESUMEN DE PUNTOS DE VENTA'!#REF!,E134,'RESUMEN DE PUNTOS DE VENTA'!#REF!,CROSSDOCKING!D137),"")</f>
        <v/>
      </c>
      <c r="I137" s="29" t="str">
        <f t="shared" ref="I137:I138" si="11">IF(B137&lt;&gt;"",F137-G137,"")</f>
        <v/>
      </c>
    </row>
    <row r="138" spans="1:9" s="28" customFormat="1" x14ac:dyDescent="0.2">
      <c r="A138" s="32">
        <v>3</v>
      </c>
      <c r="B138" s="30"/>
      <c r="C138" s="31" t="str">
        <f>IF(B138&lt;&gt;"",UPPER(VLOOKUP(B138,CATALOGO!$A$8:$E$36,3)),"")</f>
        <v/>
      </c>
      <c r="D138" s="31" t="str">
        <f>IF(B138&lt;&gt;"",VLOOKUP(B138,CATALOGO!$A$8:$E$36,2),"")</f>
        <v/>
      </c>
      <c r="E138" s="29" t="str">
        <f>IF(B138&lt;&gt;"",VLOOKUP(B138,CATALOGO!$A$8:$E$36,5),"")</f>
        <v/>
      </c>
      <c r="F138" s="29" t="str">
        <f>IF(B138&lt;&gt;"",SUMIFS('RESUMEN DE PUNTOS DE VENTA'!G$7:G$145,'RESUMEN DE PUNTOS DE VENTA'!A$7:A$145,C133,'RESUMEN DE PUNTOS DE VENTA'!C$7:C$145,CROSSDOCKING!B138),"")</f>
        <v/>
      </c>
      <c r="G138" s="107" t="str">
        <f>IF(B138&lt;&gt;"",SUMIFS('RESUMEN DE PUNTOS DE VENTA'!H$7:H$145,'RESUMEN DE PUNTOS DE VENTA'!A$7:A$145,C133,'RESUMEN DE PUNTOS DE VENTA'!C$7:C$145,CROSSDOCKING!B138),"")</f>
        <v/>
      </c>
      <c r="H138" s="108" t="str">
        <f>IF(D138&lt;&gt;"",SUMIFS('RESUMEN DE PUNTOS DE VENTA'!#REF!,'RESUMEN DE PUNTOS DE VENTA'!#REF!,E135,'RESUMEN DE PUNTOS DE VENTA'!#REF!,CROSSDOCKING!D138),"")</f>
        <v/>
      </c>
      <c r="I138" s="29" t="str">
        <f t="shared" si="11"/>
        <v/>
      </c>
    </row>
    <row r="139" spans="1:9" s="28" customFormat="1" ht="15" customHeight="1" x14ac:dyDescent="0.2">
      <c r="A139" s="109" t="s">
        <v>67</v>
      </c>
      <c r="B139" s="110"/>
      <c r="C139" s="110"/>
      <c r="D139" s="110"/>
      <c r="E139" s="111"/>
      <c r="F139" s="29">
        <f>SUM(F136:F138)</f>
        <v>1</v>
      </c>
      <c r="G139" s="107">
        <f>SUM(G136:G138)</f>
        <v>1</v>
      </c>
      <c r="H139" s="108"/>
      <c r="I139" s="29">
        <f>SUM(I136:I138)</f>
        <v>0</v>
      </c>
    </row>
    <row r="140" spans="1:9" s="28" customFormat="1" ht="15" customHeight="1" x14ac:dyDescent="0.2">
      <c r="A140" s="107" t="s">
        <v>150</v>
      </c>
      <c r="B140" s="112"/>
      <c r="C140" s="54">
        <f>COUNTIF($A$1:I139, "TOTAL")</f>
        <v>12</v>
      </c>
      <c r="D140" s="112" t="s">
        <v>146</v>
      </c>
      <c r="E140" s="112"/>
      <c r="F140" s="113">
        <f>CAJAS!$C$21</f>
        <v>33</v>
      </c>
      <c r="G140" s="113"/>
      <c r="H140" s="113"/>
      <c r="I140" s="114"/>
    </row>
    <row r="141" spans="1:9" s="28" customFormat="1" ht="16" x14ac:dyDescent="0.2">
      <c r="A141" s="116" t="s">
        <v>59</v>
      </c>
      <c r="B141" s="117"/>
      <c r="C141" s="117"/>
      <c r="D141" s="117"/>
      <c r="E141" s="117"/>
      <c r="F141" s="117"/>
      <c r="G141" s="117"/>
      <c r="H141" s="117"/>
      <c r="I141" s="118"/>
    </row>
    <row r="142" spans="1:9" s="28" customFormat="1" ht="16" x14ac:dyDescent="0.2">
      <c r="A142" s="119" t="s">
        <v>60</v>
      </c>
      <c r="B142" s="120"/>
      <c r="C142" s="120"/>
      <c r="D142" s="120"/>
      <c r="E142" s="120"/>
      <c r="F142" s="120"/>
      <c r="G142" s="120"/>
      <c r="H142" s="120"/>
      <c r="I142" s="121"/>
    </row>
    <row r="143" spans="1:9" s="28" customFormat="1" ht="18.75" customHeight="1" x14ac:dyDescent="0.2">
      <c r="A143" s="122" t="s">
        <v>61</v>
      </c>
      <c r="B143" s="123"/>
      <c r="C143" s="69">
        <v>4099</v>
      </c>
      <c r="D143" s="53" t="s">
        <v>244</v>
      </c>
      <c r="E143" s="124" t="str">
        <f>VLOOKUP(C143,'PUNTOS DE VENTA'!$A$1:$C$75,3)</f>
        <v>XA255</v>
      </c>
      <c r="F143" s="125"/>
      <c r="G143" s="70" t="s">
        <v>62</v>
      </c>
      <c r="H143" s="126">
        <f>'RESUMEN DE PUNTOS DE VENTA'!$C$4</f>
        <v>2900678609</v>
      </c>
      <c r="I143" s="127"/>
    </row>
    <row r="144" spans="1:9" s="28" customFormat="1" ht="18.75" customHeight="1" x14ac:dyDescent="0.2">
      <c r="A144" s="122" t="s">
        <v>63</v>
      </c>
      <c r="B144" s="123"/>
      <c r="C144" s="128" t="str">
        <f>UPPER(VLOOKUP(C143,'PUNTOS DE VENTA'!$A$1:$B$75,2))</f>
        <v>MAXI TURRIALBA</v>
      </c>
      <c r="D144" s="128"/>
      <c r="E144" s="128"/>
      <c r="F144" s="128"/>
      <c r="G144" s="128"/>
      <c r="H144" s="128"/>
      <c r="I144" s="129"/>
    </row>
    <row r="145" spans="1:9" s="28" customFormat="1" ht="22.5" customHeight="1" x14ac:dyDescent="0.2">
      <c r="A145" s="130" t="s">
        <v>7</v>
      </c>
      <c r="B145" s="131"/>
      <c r="C145" s="71" t="s">
        <v>28</v>
      </c>
      <c r="D145" s="72" t="s">
        <v>11</v>
      </c>
      <c r="E145" s="72" t="s">
        <v>8</v>
      </c>
      <c r="F145" s="73" t="s">
        <v>64</v>
      </c>
      <c r="G145" s="132" t="s">
        <v>65</v>
      </c>
      <c r="H145" s="133"/>
      <c r="I145" s="74" t="s">
        <v>66</v>
      </c>
    </row>
    <row r="146" spans="1:9" s="28" customFormat="1" x14ac:dyDescent="0.2">
      <c r="A146" s="32">
        <v>1</v>
      </c>
      <c r="B146" s="30">
        <f>IF(SUMIFS('RESUMEN DE PUNTOS DE VENTA'!C$7:C$145,'RESUMEN DE PUNTOS DE VENTA'!A$7:A$145,C143,'RESUMEN DE PUNTOS DE VENTA'!C$7:C$145,"2645516") = 2645516, 2645516, IF(SUMIFS('RESUMEN DE PUNTOS DE VENTA'!C$7:C$145,'RESUMEN DE PUNTOS DE VENTA'!A$7:A$145,C143,'RESUMEN DE PUNTOS DE VENTA'!C$7:C$145,"2647973") = 2647973, 2647973, ""))</f>
        <v>2647973</v>
      </c>
      <c r="C146" s="31" t="str">
        <f>IF(B146&lt;&gt;"",UPPER(VLOOKUP(B146,CATALOGO!$A$8:$E$36,3)),"")</f>
        <v>ALMOHADA BEBE SENCILLA ESTAMPADA</v>
      </c>
      <c r="D146" s="31">
        <f>IF(B146&lt;&gt;"",VLOOKUP(B146,CATALOGO!$A$8:$E$36,2),"")</f>
        <v>7441119600768</v>
      </c>
      <c r="E146" s="29">
        <f>IF(B146&lt;&gt;"",VLOOKUP(B146,CATALOGO!$A$8:$E$36,5),"")</f>
        <v>3</v>
      </c>
      <c r="F146" s="29">
        <f>IF(B146&lt;&gt;"",SUMIFS('RESUMEN DE PUNTOS DE VENTA'!G$7:G$145,'RESUMEN DE PUNTOS DE VENTA'!A$7:A$145,C143,'RESUMEN DE PUNTOS DE VENTA'!C$7:C$145,CROSSDOCKING!B146),"")</f>
        <v>2</v>
      </c>
      <c r="G146" s="107">
        <f>IF(B146&lt;&gt;"",SUMIFS('RESUMEN DE PUNTOS DE VENTA'!H$7:H$145,'RESUMEN DE PUNTOS DE VENTA'!A$7:A$145,C143,'RESUMEN DE PUNTOS DE VENTA'!C$7:C$145,CROSSDOCKING!B146),"")</f>
        <v>2</v>
      </c>
      <c r="H146" s="108" t="e">
        <f>IF(D146&lt;&gt;"",SUMIFS('RESUMEN DE PUNTOS DE VENTA'!#REF!,'RESUMEN DE PUNTOS DE VENTA'!#REF!,E143,'RESUMEN DE PUNTOS DE VENTA'!#REF!,CROSSDOCKING!D146),"")</f>
        <v>#REF!</v>
      </c>
      <c r="I146" s="29">
        <f>IF(B146&lt;&gt;"",F146-G146,"")</f>
        <v>0</v>
      </c>
    </row>
    <row r="147" spans="1:9" s="28" customFormat="1" x14ac:dyDescent="0.2">
      <c r="A147" s="32">
        <v>2</v>
      </c>
      <c r="B147" s="30" t="str">
        <f>IF(AND(B146&lt;&gt;"",B146&lt;&gt;2647973),IF(SUMIFS('RESUMEN DE PUNTOS DE VENTA'!C$7:C$145,'RESUMEN DE PUNTOS DE VENTA'!A$7:A$145,C143,'RESUMEN DE PUNTOS DE VENTA'!C$7:C$145,"2647973")=2647973,2647973,""), "")</f>
        <v/>
      </c>
      <c r="C147" s="31" t="str">
        <f>IF(B147&lt;&gt;"",UPPER(VLOOKUP(B147,CATALOGO!$A$8:$E$36,3)),"")</f>
        <v/>
      </c>
      <c r="D147" s="31" t="str">
        <f>IF(B147&lt;&gt;"",VLOOKUP(B147,CATALOGO!$A$8:$E$36,2),"")</f>
        <v/>
      </c>
      <c r="E147" s="29" t="str">
        <f>IF(B147&lt;&gt;"",VLOOKUP(B147,CATALOGO!$A$8:$E$36,5),"")</f>
        <v/>
      </c>
      <c r="F147" s="29" t="str">
        <f>IF(B147&lt;&gt;"",SUMIFS('RESUMEN DE PUNTOS DE VENTA'!G$7:G$145,'RESUMEN DE PUNTOS DE VENTA'!A$7:A$145,C143,'RESUMEN DE PUNTOS DE VENTA'!C$7:C$145,CROSSDOCKING!B147),"")</f>
        <v/>
      </c>
      <c r="G147" s="107" t="str">
        <f>IF(B147&lt;&gt;"",SUMIFS('RESUMEN DE PUNTOS DE VENTA'!H$7:H$145,'RESUMEN DE PUNTOS DE VENTA'!A$7:A$145,C143,'RESUMEN DE PUNTOS DE VENTA'!C$7:C$145,CROSSDOCKING!B147),"")</f>
        <v/>
      </c>
      <c r="H147" s="108" t="str">
        <f>IF(D147&lt;&gt;"",SUMIFS('RESUMEN DE PUNTOS DE VENTA'!#REF!,'RESUMEN DE PUNTOS DE VENTA'!#REF!,E144,'RESUMEN DE PUNTOS DE VENTA'!#REF!,CROSSDOCKING!D147),"")</f>
        <v/>
      </c>
      <c r="I147" s="29" t="str">
        <f t="shared" ref="I147:I148" si="12">IF(B147&lt;&gt;"",F147-G147,"")</f>
        <v/>
      </c>
    </row>
    <row r="148" spans="1:9" s="28" customFormat="1" x14ac:dyDescent="0.2">
      <c r="A148" s="32">
        <v>3</v>
      </c>
      <c r="B148" s="30"/>
      <c r="C148" s="31" t="str">
        <f>IF(B148&lt;&gt;"",UPPER(VLOOKUP(B148,CATALOGO!$A$8:$E$36,3)),"")</f>
        <v/>
      </c>
      <c r="D148" s="31" t="str">
        <f>IF(B148&lt;&gt;"",VLOOKUP(B148,CATALOGO!$A$8:$E$36,2),"")</f>
        <v/>
      </c>
      <c r="E148" s="29" t="str">
        <f>IF(B148&lt;&gt;"",VLOOKUP(B148,CATALOGO!$A$8:$E$36,5),"")</f>
        <v/>
      </c>
      <c r="F148" s="29" t="str">
        <f>IF(B148&lt;&gt;"",SUMIFS('RESUMEN DE PUNTOS DE VENTA'!G$7:G$145,'RESUMEN DE PUNTOS DE VENTA'!A$7:A$145,C143,'RESUMEN DE PUNTOS DE VENTA'!C$7:C$145,CROSSDOCKING!B148),"")</f>
        <v/>
      </c>
      <c r="G148" s="107" t="str">
        <f>IF(B148&lt;&gt;"",SUMIFS('RESUMEN DE PUNTOS DE VENTA'!H$7:H$145,'RESUMEN DE PUNTOS DE VENTA'!A$7:A$145,C143,'RESUMEN DE PUNTOS DE VENTA'!C$7:C$145,CROSSDOCKING!B148),"")</f>
        <v/>
      </c>
      <c r="H148" s="108" t="str">
        <f>IF(D148&lt;&gt;"",SUMIFS('RESUMEN DE PUNTOS DE VENTA'!#REF!,'RESUMEN DE PUNTOS DE VENTA'!#REF!,E145,'RESUMEN DE PUNTOS DE VENTA'!#REF!,CROSSDOCKING!D148),"")</f>
        <v/>
      </c>
      <c r="I148" s="29" t="str">
        <f t="shared" si="12"/>
        <v/>
      </c>
    </row>
    <row r="149" spans="1:9" s="28" customFormat="1" ht="15" customHeight="1" x14ac:dyDescent="0.2">
      <c r="A149" s="109" t="s">
        <v>67</v>
      </c>
      <c r="B149" s="110"/>
      <c r="C149" s="110"/>
      <c r="D149" s="110"/>
      <c r="E149" s="111"/>
      <c r="F149" s="29">
        <f>SUM(F146:F148)</f>
        <v>2</v>
      </c>
      <c r="G149" s="107">
        <f>SUM(G146:G148)</f>
        <v>2</v>
      </c>
      <c r="H149" s="108"/>
      <c r="I149" s="29">
        <f>SUM(I146:I148)</f>
        <v>0</v>
      </c>
    </row>
    <row r="150" spans="1:9" s="28" customFormat="1" ht="15" customHeight="1" x14ac:dyDescent="0.2">
      <c r="A150" s="134" t="s">
        <v>150</v>
      </c>
      <c r="B150" s="135"/>
      <c r="C150" s="52">
        <f>COUNTIF($A$1:I149, "TOTAL")</f>
        <v>13</v>
      </c>
      <c r="D150" s="135" t="s">
        <v>146</v>
      </c>
      <c r="E150" s="135"/>
      <c r="F150" s="136">
        <f>CAJAS!$C$21</f>
        <v>33</v>
      </c>
      <c r="G150" s="136"/>
      <c r="H150" s="136"/>
      <c r="I150" s="137"/>
    </row>
    <row r="151" spans="1:9" s="28" customFormat="1" ht="10" customHeight="1" thickBot="1" x14ac:dyDescent="0.25">
      <c r="A151" s="138"/>
      <c r="B151" s="138"/>
      <c r="C151" s="138"/>
      <c r="D151" s="138"/>
      <c r="E151" s="138"/>
      <c r="F151" s="138"/>
      <c r="G151" s="138"/>
      <c r="H151" s="138"/>
      <c r="I151" s="138"/>
    </row>
    <row r="152" spans="1:9" s="28" customFormat="1" ht="10" customHeight="1" thickTop="1" x14ac:dyDescent="0.2">
      <c r="A152" s="115"/>
      <c r="B152" s="115"/>
      <c r="C152" s="115"/>
      <c r="D152" s="115"/>
      <c r="E152" s="115"/>
      <c r="F152" s="115"/>
      <c r="G152" s="115"/>
      <c r="H152" s="115"/>
      <c r="I152" s="115"/>
    </row>
    <row r="153" spans="1:9" s="28" customFormat="1" ht="16" x14ac:dyDescent="0.2">
      <c r="A153" s="116" t="s">
        <v>59</v>
      </c>
      <c r="B153" s="117"/>
      <c r="C153" s="117"/>
      <c r="D153" s="117"/>
      <c r="E153" s="117"/>
      <c r="F153" s="117"/>
      <c r="G153" s="117"/>
      <c r="H153" s="117"/>
      <c r="I153" s="118"/>
    </row>
    <row r="154" spans="1:9" s="28" customFormat="1" ht="16" x14ac:dyDescent="0.2">
      <c r="A154" s="119" t="s">
        <v>60</v>
      </c>
      <c r="B154" s="120"/>
      <c r="C154" s="120"/>
      <c r="D154" s="120"/>
      <c r="E154" s="120"/>
      <c r="F154" s="120"/>
      <c r="G154" s="120"/>
      <c r="H154" s="120"/>
      <c r="I154" s="121"/>
    </row>
    <row r="155" spans="1:9" s="28" customFormat="1" ht="18.75" customHeight="1" x14ac:dyDescent="0.2">
      <c r="A155" s="122" t="s">
        <v>61</v>
      </c>
      <c r="B155" s="123"/>
      <c r="C155" s="69">
        <v>4109</v>
      </c>
      <c r="D155" s="53" t="s">
        <v>244</v>
      </c>
      <c r="E155" s="124" t="str">
        <f>VLOOKUP(C155,'PUNTOS DE VENTA'!$A$1:$C$75,3)</f>
        <v>XA258</v>
      </c>
      <c r="F155" s="125"/>
      <c r="G155" s="70" t="s">
        <v>62</v>
      </c>
      <c r="H155" s="126">
        <f>'RESUMEN DE PUNTOS DE VENTA'!$C$4</f>
        <v>2900678609</v>
      </c>
      <c r="I155" s="127"/>
    </row>
    <row r="156" spans="1:9" s="28" customFormat="1" ht="18.75" customHeight="1" x14ac:dyDescent="0.2">
      <c r="A156" s="122" t="s">
        <v>63</v>
      </c>
      <c r="B156" s="123"/>
      <c r="C156" s="128" t="str">
        <f>UPPER(VLOOKUP(C155,'PUNTOS DE VENTA'!$A$1:$B$75,2))</f>
        <v>MAXI NICOYA</v>
      </c>
      <c r="D156" s="128"/>
      <c r="E156" s="128"/>
      <c r="F156" s="128"/>
      <c r="G156" s="128"/>
      <c r="H156" s="128"/>
      <c r="I156" s="129"/>
    </row>
    <row r="157" spans="1:9" s="28" customFormat="1" ht="22.5" customHeight="1" x14ac:dyDescent="0.2">
      <c r="A157" s="130" t="s">
        <v>7</v>
      </c>
      <c r="B157" s="131"/>
      <c r="C157" s="71" t="s">
        <v>28</v>
      </c>
      <c r="D157" s="72" t="s">
        <v>11</v>
      </c>
      <c r="E157" s="72" t="s">
        <v>8</v>
      </c>
      <c r="F157" s="73" t="s">
        <v>64</v>
      </c>
      <c r="G157" s="132" t="s">
        <v>65</v>
      </c>
      <c r="H157" s="133"/>
      <c r="I157" s="74" t="s">
        <v>66</v>
      </c>
    </row>
    <row r="158" spans="1:9" s="28" customFormat="1" x14ac:dyDescent="0.2">
      <c r="A158" s="32">
        <v>1</v>
      </c>
      <c r="B158" s="30">
        <f>IF(SUMIFS('RESUMEN DE PUNTOS DE VENTA'!C$7:C$145,'RESUMEN DE PUNTOS DE VENTA'!A$7:A$145,C155,'RESUMEN DE PUNTOS DE VENTA'!C$7:C$145,"2645516") = 2645516, 2645516, IF(SUMIFS('RESUMEN DE PUNTOS DE VENTA'!C$7:C$145,'RESUMEN DE PUNTOS DE VENTA'!A$7:A$145,C155,'RESUMEN DE PUNTOS DE VENTA'!C$7:C$145,"2647973") = 2647973, 2647973, ""))</f>
        <v>2645516</v>
      </c>
      <c r="C158" s="31" t="str">
        <f>IF(B158&lt;&gt;"",UPPER(VLOOKUP(B158,CATALOGO!$A$8:$E$36,3)),"")</f>
        <v>ALMOHADA Y FUNDA BEBE COLORES SURTIDOS DOCOMA</v>
      </c>
      <c r="D158" s="31">
        <f>IF(B158&lt;&gt;"",VLOOKUP(B158,CATALOGO!$A$8:$E$36,2),"")</f>
        <v>7441119600652</v>
      </c>
      <c r="E158" s="29">
        <f>IF(B158&lt;&gt;"",VLOOKUP(B158,CATALOGO!$A$8:$E$36,5),"")</f>
        <v>3</v>
      </c>
      <c r="F158" s="29">
        <f>IF(B158&lt;&gt;"",SUMIFS('RESUMEN DE PUNTOS DE VENTA'!G$7:G$145,'RESUMEN DE PUNTOS DE VENTA'!A$7:A$145,C155,'RESUMEN DE PUNTOS DE VENTA'!C$7:C$145,CROSSDOCKING!B158),"")</f>
        <v>1</v>
      </c>
      <c r="G158" s="107">
        <f>IF(B158&lt;&gt;"",SUMIFS('RESUMEN DE PUNTOS DE VENTA'!H$7:H$145,'RESUMEN DE PUNTOS DE VENTA'!A$7:A$145,C155,'RESUMEN DE PUNTOS DE VENTA'!C$7:C$145,CROSSDOCKING!B158),"")</f>
        <v>1</v>
      </c>
      <c r="H158" s="108" t="e">
        <f>IF(D158&lt;&gt;"",SUMIFS('RESUMEN DE PUNTOS DE VENTA'!#REF!,'RESUMEN DE PUNTOS DE VENTA'!#REF!,E155,'RESUMEN DE PUNTOS DE VENTA'!#REF!,CROSSDOCKING!D158),"")</f>
        <v>#REF!</v>
      </c>
      <c r="I158" s="29">
        <f>IF(B158&lt;&gt;"",F158-G158,"")</f>
        <v>0</v>
      </c>
    </row>
    <row r="159" spans="1:9" s="28" customFormat="1" x14ac:dyDescent="0.2">
      <c r="A159" s="32">
        <v>2</v>
      </c>
      <c r="B159" s="30">
        <f>IF(AND(B158&lt;&gt;"",B158&lt;&gt;2647973),IF(SUMIFS('RESUMEN DE PUNTOS DE VENTA'!C$7:C$145,'RESUMEN DE PUNTOS DE VENTA'!A$7:A$145,C155,'RESUMEN DE PUNTOS DE VENTA'!C$7:C$145,"2647973")=2647973,2647973,""), "")</f>
        <v>2647973</v>
      </c>
      <c r="C159" s="31" t="str">
        <f>IF(B159&lt;&gt;"",UPPER(VLOOKUP(B159,CATALOGO!$A$8:$E$36,3)),"")</f>
        <v>ALMOHADA BEBE SENCILLA ESTAMPADA</v>
      </c>
      <c r="D159" s="31">
        <f>IF(B159&lt;&gt;"",VLOOKUP(B159,CATALOGO!$A$8:$E$36,2),"")</f>
        <v>7441119600768</v>
      </c>
      <c r="E159" s="29">
        <f>IF(B159&lt;&gt;"",VLOOKUP(B159,CATALOGO!$A$8:$E$36,5),"")</f>
        <v>3</v>
      </c>
      <c r="F159" s="29">
        <f>IF(B159&lt;&gt;"",SUMIFS('RESUMEN DE PUNTOS DE VENTA'!G$7:G$145,'RESUMEN DE PUNTOS DE VENTA'!A$7:A$145,C155,'RESUMEN DE PUNTOS DE VENTA'!C$7:C$145,CROSSDOCKING!B159),"")</f>
        <v>3</v>
      </c>
      <c r="G159" s="107">
        <f>IF(B159&lt;&gt;"",SUMIFS('RESUMEN DE PUNTOS DE VENTA'!H$7:H$145,'RESUMEN DE PUNTOS DE VENTA'!A$7:A$145,C155,'RESUMEN DE PUNTOS DE VENTA'!C$7:C$145,CROSSDOCKING!B159),"")</f>
        <v>3</v>
      </c>
      <c r="H159" s="108" t="e">
        <f>IF(D159&lt;&gt;"",SUMIFS('RESUMEN DE PUNTOS DE VENTA'!#REF!,'RESUMEN DE PUNTOS DE VENTA'!#REF!,E156,'RESUMEN DE PUNTOS DE VENTA'!#REF!,CROSSDOCKING!D159),"")</f>
        <v>#REF!</v>
      </c>
      <c r="I159" s="29">
        <f t="shared" ref="I159:I160" si="13">IF(B159&lt;&gt;"",F159-G159,"")</f>
        <v>0</v>
      </c>
    </row>
    <row r="160" spans="1:9" s="28" customFormat="1" x14ac:dyDescent="0.2">
      <c r="A160" s="32">
        <v>3</v>
      </c>
      <c r="B160" s="30"/>
      <c r="C160" s="31" t="str">
        <f>IF(B160&lt;&gt;"",UPPER(VLOOKUP(B160,CATALOGO!$A$8:$E$36,3)),"")</f>
        <v/>
      </c>
      <c r="D160" s="31" t="str">
        <f>IF(B160&lt;&gt;"",VLOOKUP(B160,CATALOGO!$A$8:$E$36,2),"")</f>
        <v/>
      </c>
      <c r="E160" s="29" t="str">
        <f>IF(B160&lt;&gt;"",VLOOKUP(B160,CATALOGO!$A$8:$E$36,5),"")</f>
        <v/>
      </c>
      <c r="F160" s="29" t="str">
        <f>IF(B160&lt;&gt;"",SUMIFS('RESUMEN DE PUNTOS DE VENTA'!G$7:G$145,'RESUMEN DE PUNTOS DE VENTA'!A$7:A$145,C155,'RESUMEN DE PUNTOS DE VENTA'!C$7:C$145,CROSSDOCKING!B160),"")</f>
        <v/>
      </c>
      <c r="G160" s="107" t="str">
        <f>IF(B160&lt;&gt;"",SUMIFS('RESUMEN DE PUNTOS DE VENTA'!H$7:H$145,'RESUMEN DE PUNTOS DE VENTA'!A$7:A$145,C155,'RESUMEN DE PUNTOS DE VENTA'!C$7:C$145,CROSSDOCKING!B160),"")</f>
        <v/>
      </c>
      <c r="H160" s="108" t="str">
        <f>IF(D160&lt;&gt;"",SUMIFS('RESUMEN DE PUNTOS DE VENTA'!#REF!,'RESUMEN DE PUNTOS DE VENTA'!#REF!,E157,'RESUMEN DE PUNTOS DE VENTA'!#REF!,CROSSDOCKING!D160),"")</f>
        <v/>
      </c>
      <c r="I160" s="29" t="str">
        <f t="shared" si="13"/>
        <v/>
      </c>
    </row>
    <row r="161" spans="1:9" s="28" customFormat="1" ht="15" customHeight="1" x14ac:dyDescent="0.2">
      <c r="A161" s="109" t="s">
        <v>67</v>
      </c>
      <c r="B161" s="110"/>
      <c r="C161" s="110"/>
      <c r="D161" s="110"/>
      <c r="E161" s="111"/>
      <c r="F161" s="29">
        <f>SUM(F158:F160)</f>
        <v>4</v>
      </c>
      <c r="G161" s="107">
        <f>SUM(G158:G160)</f>
        <v>4</v>
      </c>
      <c r="H161" s="108"/>
      <c r="I161" s="29">
        <f>SUM(I158:I160)</f>
        <v>0</v>
      </c>
    </row>
    <row r="162" spans="1:9" s="28" customFormat="1" ht="15" customHeight="1" x14ac:dyDescent="0.2">
      <c r="A162" s="134" t="s">
        <v>150</v>
      </c>
      <c r="B162" s="135"/>
      <c r="C162" s="52">
        <f>COUNTIF($A$1:I161, "TOTAL")</f>
        <v>14</v>
      </c>
      <c r="D162" s="135" t="s">
        <v>146</v>
      </c>
      <c r="E162" s="135"/>
      <c r="F162" s="136">
        <f>CAJAS!$C$21</f>
        <v>33</v>
      </c>
      <c r="G162" s="136"/>
      <c r="H162" s="136"/>
      <c r="I162" s="137"/>
    </row>
    <row r="163" spans="1:9" s="28" customFormat="1" ht="10" customHeight="1" thickBot="1" x14ac:dyDescent="0.25">
      <c r="A163" s="138"/>
      <c r="B163" s="138"/>
      <c r="C163" s="138"/>
      <c r="D163" s="138"/>
      <c r="E163" s="138"/>
      <c r="F163" s="138"/>
      <c r="G163" s="138"/>
      <c r="H163" s="138"/>
      <c r="I163" s="138"/>
    </row>
    <row r="164" spans="1:9" s="28" customFormat="1" ht="10" customHeight="1" thickTop="1" x14ac:dyDescent="0.2">
      <c r="A164" s="115"/>
      <c r="B164" s="115"/>
      <c r="C164" s="115"/>
      <c r="D164" s="115"/>
      <c r="E164" s="115"/>
      <c r="F164" s="115"/>
      <c r="G164" s="115"/>
      <c r="H164" s="115"/>
      <c r="I164" s="115"/>
    </row>
    <row r="165" spans="1:9" s="28" customFormat="1" ht="16" x14ac:dyDescent="0.2">
      <c r="A165" s="116" t="s">
        <v>59</v>
      </c>
      <c r="B165" s="117"/>
      <c r="C165" s="117"/>
      <c r="D165" s="117"/>
      <c r="E165" s="117"/>
      <c r="F165" s="117"/>
      <c r="G165" s="117"/>
      <c r="H165" s="117"/>
      <c r="I165" s="118"/>
    </row>
    <row r="166" spans="1:9" s="28" customFormat="1" ht="16" x14ac:dyDescent="0.2">
      <c r="A166" s="119" t="s">
        <v>60</v>
      </c>
      <c r="B166" s="120"/>
      <c r="C166" s="120"/>
      <c r="D166" s="120"/>
      <c r="E166" s="120"/>
      <c r="F166" s="120"/>
      <c r="G166" s="120"/>
      <c r="H166" s="120"/>
      <c r="I166" s="121"/>
    </row>
    <row r="167" spans="1:9" s="28" customFormat="1" ht="18.75" customHeight="1" x14ac:dyDescent="0.2">
      <c r="A167" s="122" t="s">
        <v>61</v>
      </c>
      <c r="B167" s="123"/>
      <c r="C167" s="69">
        <v>4214</v>
      </c>
      <c r="D167" s="53" t="s">
        <v>244</v>
      </c>
      <c r="E167" s="124" t="str">
        <f>VLOOKUP(C167,'PUNTOS DE VENTA'!$A$1:$C$75,3)</f>
        <v>XA250</v>
      </c>
      <c r="F167" s="125"/>
      <c r="G167" s="70" t="s">
        <v>62</v>
      </c>
      <c r="H167" s="126">
        <f>'RESUMEN DE PUNTOS DE VENTA'!$C$4</f>
        <v>2900678609</v>
      </c>
      <c r="I167" s="127"/>
    </row>
    <row r="168" spans="1:9" s="28" customFormat="1" ht="18.75" customHeight="1" x14ac:dyDescent="0.2">
      <c r="A168" s="122" t="s">
        <v>63</v>
      </c>
      <c r="B168" s="123"/>
      <c r="C168" s="128" t="str">
        <f>UPPER(VLOOKUP(C167,'PUNTOS DE VENTA'!$A$1:$B$75,2))</f>
        <v>MAXI PARAISO</v>
      </c>
      <c r="D168" s="128"/>
      <c r="E168" s="128"/>
      <c r="F168" s="128"/>
      <c r="G168" s="128"/>
      <c r="H168" s="128"/>
      <c r="I168" s="129"/>
    </row>
    <row r="169" spans="1:9" s="28" customFormat="1" ht="22.5" customHeight="1" x14ac:dyDescent="0.2">
      <c r="A169" s="130" t="s">
        <v>7</v>
      </c>
      <c r="B169" s="131"/>
      <c r="C169" s="71" t="s">
        <v>28</v>
      </c>
      <c r="D169" s="72" t="s">
        <v>11</v>
      </c>
      <c r="E169" s="72" t="s">
        <v>8</v>
      </c>
      <c r="F169" s="73" t="s">
        <v>64</v>
      </c>
      <c r="G169" s="132" t="s">
        <v>65</v>
      </c>
      <c r="H169" s="133"/>
      <c r="I169" s="74" t="s">
        <v>66</v>
      </c>
    </row>
    <row r="170" spans="1:9" s="28" customFormat="1" x14ac:dyDescent="0.2">
      <c r="A170" s="32">
        <v>1</v>
      </c>
      <c r="B170" s="30">
        <f>IF(SUMIFS('RESUMEN DE PUNTOS DE VENTA'!C$7:C$145,'RESUMEN DE PUNTOS DE VENTA'!A$7:A$145,C167,'RESUMEN DE PUNTOS DE VENTA'!C$7:C$145,"2645516") = 2645516, 2645516, IF(SUMIFS('RESUMEN DE PUNTOS DE VENTA'!C$7:C$145,'RESUMEN DE PUNTOS DE VENTA'!A$7:A$145,C167,'RESUMEN DE PUNTOS DE VENTA'!C$7:C$145,"2647973") = 2647973, 2647973, ""))</f>
        <v>2647973</v>
      </c>
      <c r="C170" s="31" t="str">
        <f>IF(B170&lt;&gt;"",UPPER(VLOOKUP(B170,CATALOGO!$A$8:$E$36,3)),"")</f>
        <v>ALMOHADA BEBE SENCILLA ESTAMPADA</v>
      </c>
      <c r="D170" s="31">
        <f>IF(B170&lt;&gt;"",VLOOKUP(B170,CATALOGO!$A$8:$E$36,2),"")</f>
        <v>7441119600768</v>
      </c>
      <c r="E170" s="29">
        <f>IF(B170&lt;&gt;"",VLOOKUP(B170,CATALOGO!$A$8:$E$36,5),"")</f>
        <v>3</v>
      </c>
      <c r="F170" s="29">
        <f>IF(B170&lt;&gt;"",SUMIFS('RESUMEN DE PUNTOS DE VENTA'!G$7:G$145,'RESUMEN DE PUNTOS DE VENTA'!A$7:A$145,C167,'RESUMEN DE PUNTOS DE VENTA'!C$7:C$145,CROSSDOCKING!B170),"")</f>
        <v>1</v>
      </c>
      <c r="G170" s="107">
        <f>IF(B170&lt;&gt;"",SUMIFS('RESUMEN DE PUNTOS DE VENTA'!H$7:H$145,'RESUMEN DE PUNTOS DE VENTA'!A$7:A$145,C167,'RESUMEN DE PUNTOS DE VENTA'!C$7:C$145,CROSSDOCKING!B170),"")</f>
        <v>1</v>
      </c>
      <c r="H170" s="108" t="e">
        <f>IF(D170&lt;&gt;"",SUMIFS('RESUMEN DE PUNTOS DE VENTA'!#REF!,'RESUMEN DE PUNTOS DE VENTA'!#REF!,E167,'RESUMEN DE PUNTOS DE VENTA'!#REF!,CROSSDOCKING!D170),"")</f>
        <v>#REF!</v>
      </c>
      <c r="I170" s="29">
        <f>IF(B170&lt;&gt;"",F170-G170,"")</f>
        <v>0</v>
      </c>
    </row>
    <row r="171" spans="1:9" s="28" customFormat="1" x14ac:dyDescent="0.2">
      <c r="A171" s="32">
        <v>2</v>
      </c>
      <c r="B171" s="30" t="str">
        <f>IF(AND(B170&lt;&gt;"",B170&lt;&gt;2647973),IF(SUMIFS('RESUMEN DE PUNTOS DE VENTA'!C$7:C$145,'RESUMEN DE PUNTOS DE VENTA'!A$7:A$145,C167,'RESUMEN DE PUNTOS DE VENTA'!C$7:C$145,"2647973")=2647973,2647973,""), "")</f>
        <v/>
      </c>
      <c r="C171" s="31" t="str">
        <f>IF(B171&lt;&gt;"",UPPER(VLOOKUP(B171,CATALOGO!$A$8:$E$36,3)),"")</f>
        <v/>
      </c>
      <c r="D171" s="31" t="str">
        <f>IF(B171&lt;&gt;"",VLOOKUP(B171,CATALOGO!$A$8:$E$36,2),"")</f>
        <v/>
      </c>
      <c r="E171" s="29" t="str">
        <f>IF(B171&lt;&gt;"",VLOOKUP(B171,CATALOGO!$A$8:$E$36,5),"")</f>
        <v/>
      </c>
      <c r="F171" s="29" t="str">
        <f>IF(B171&lt;&gt;"",SUMIFS('RESUMEN DE PUNTOS DE VENTA'!G$7:G$145,'RESUMEN DE PUNTOS DE VENTA'!A$7:A$145,C167,'RESUMEN DE PUNTOS DE VENTA'!C$7:C$145,CROSSDOCKING!B171),"")</f>
        <v/>
      </c>
      <c r="G171" s="107" t="str">
        <f>IF(B171&lt;&gt;"",SUMIFS('RESUMEN DE PUNTOS DE VENTA'!H$7:H$145,'RESUMEN DE PUNTOS DE VENTA'!A$7:A$145,C167,'RESUMEN DE PUNTOS DE VENTA'!C$7:C$145,CROSSDOCKING!B171),"")</f>
        <v/>
      </c>
      <c r="H171" s="108" t="str">
        <f>IF(D171&lt;&gt;"",SUMIFS('RESUMEN DE PUNTOS DE VENTA'!#REF!,'RESUMEN DE PUNTOS DE VENTA'!#REF!,E168,'RESUMEN DE PUNTOS DE VENTA'!#REF!,CROSSDOCKING!D171),"")</f>
        <v/>
      </c>
      <c r="I171" s="29" t="str">
        <f t="shared" ref="I171:I172" si="14">IF(B171&lt;&gt;"",F171-G171,"")</f>
        <v/>
      </c>
    </row>
    <row r="172" spans="1:9" s="28" customFormat="1" x14ac:dyDescent="0.2">
      <c r="A172" s="32">
        <v>3</v>
      </c>
      <c r="B172" s="30"/>
      <c r="C172" s="31" t="str">
        <f>IF(B172&lt;&gt;"",UPPER(VLOOKUP(B172,CATALOGO!$A$8:$E$36,3)),"")</f>
        <v/>
      </c>
      <c r="D172" s="31" t="str">
        <f>IF(B172&lt;&gt;"",VLOOKUP(B172,CATALOGO!$A$8:$E$36,2),"")</f>
        <v/>
      </c>
      <c r="E172" s="29" t="str">
        <f>IF(B172&lt;&gt;"",VLOOKUP(B172,CATALOGO!$A$8:$E$36,5),"")</f>
        <v/>
      </c>
      <c r="F172" s="29" t="str">
        <f>IF(B172&lt;&gt;"",SUMIFS('RESUMEN DE PUNTOS DE VENTA'!G$7:G$145,'RESUMEN DE PUNTOS DE VENTA'!A$7:A$145,C167,'RESUMEN DE PUNTOS DE VENTA'!C$7:C$145,CROSSDOCKING!B172),"")</f>
        <v/>
      </c>
      <c r="G172" s="107" t="str">
        <f>IF(B172&lt;&gt;"",SUMIFS('RESUMEN DE PUNTOS DE VENTA'!H$7:H$145,'RESUMEN DE PUNTOS DE VENTA'!A$7:A$145,C167,'RESUMEN DE PUNTOS DE VENTA'!C$7:C$145,CROSSDOCKING!B172),"")</f>
        <v/>
      </c>
      <c r="H172" s="108" t="str">
        <f>IF(D172&lt;&gt;"",SUMIFS('RESUMEN DE PUNTOS DE VENTA'!#REF!,'RESUMEN DE PUNTOS DE VENTA'!#REF!,E169,'RESUMEN DE PUNTOS DE VENTA'!#REF!,CROSSDOCKING!D172),"")</f>
        <v/>
      </c>
      <c r="I172" s="29" t="str">
        <f t="shared" si="14"/>
        <v/>
      </c>
    </row>
    <row r="173" spans="1:9" s="28" customFormat="1" x14ac:dyDescent="0.2">
      <c r="A173" s="109" t="s">
        <v>67</v>
      </c>
      <c r="B173" s="110"/>
      <c r="C173" s="110"/>
      <c r="D173" s="110"/>
      <c r="E173" s="111"/>
      <c r="F173" s="29">
        <f>SUM(F170:F172)</f>
        <v>1</v>
      </c>
      <c r="G173" s="107">
        <f>SUM(G170:G172)</f>
        <v>1</v>
      </c>
      <c r="H173" s="108"/>
      <c r="I173" s="29">
        <f>SUM(I170:I172)</f>
        <v>0</v>
      </c>
    </row>
    <row r="174" spans="1:9" s="28" customFormat="1" ht="15" customHeight="1" x14ac:dyDescent="0.2">
      <c r="A174" s="134" t="s">
        <v>150</v>
      </c>
      <c r="B174" s="135"/>
      <c r="C174" s="52">
        <f>COUNTIF($A$1:I173, "TOTAL")</f>
        <v>15</v>
      </c>
      <c r="D174" s="135" t="s">
        <v>146</v>
      </c>
      <c r="E174" s="135"/>
      <c r="F174" s="136">
        <f>CAJAS!$C$21</f>
        <v>33</v>
      </c>
      <c r="G174" s="136"/>
      <c r="H174" s="136"/>
      <c r="I174" s="137"/>
    </row>
    <row r="175" spans="1:9" s="28" customFormat="1" ht="10" customHeight="1" thickBot="1" x14ac:dyDescent="0.25">
      <c r="A175" s="138"/>
      <c r="B175" s="138"/>
      <c r="C175" s="138"/>
      <c r="D175" s="138"/>
      <c r="E175" s="138"/>
      <c r="F175" s="138"/>
      <c r="G175" s="138"/>
      <c r="H175" s="138"/>
      <c r="I175" s="138"/>
    </row>
    <row r="176" spans="1:9" s="28" customFormat="1" ht="10" customHeight="1" thickTop="1" x14ac:dyDescent="0.2">
      <c r="A176" s="115"/>
      <c r="B176" s="115"/>
      <c r="C176" s="115"/>
      <c r="D176" s="115"/>
      <c r="E176" s="115"/>
      <c r="F176" s="115"/>
      <c r="G176" s="115"/>
      <c r="H176" s="115"/>
      <c r="I176" s="115"/>
    </row>
    <row r="177" spans="1:9" s="28" customFormat="1" ht="16" x14ac:dyDescent="0.2">
      <c r="A177" s="116" t="s">
        <v>59</v>
      </c>
      <c r="B177" s="117"/>
      <c r="C177" s="117"/>
      <c r="D177" s="117"/>
      <c r="E177" s="117"/>
      <c r="F177" s="117"/>
      <c r="G177" s="117"/>
      <c r="H177" s="117"/>
      <c r="I177" s="118"/>
    </row>
    <row r="178" spans="1:9" s="28" customFormat="1" ht="16" x14ac:dyDescent="0.2">
      <c r="A178" s="119" t="s">
        <v>60</v>
      </c>
      <c r="B178" s="120"/>
      <c r="C178" s="120"/>
      <c r="D178" s="120"/>
      <c r="E178" s="120"/>
      <c r="F178" s="120"/>
      <c r="G178" s="120"/>
      <c r="H178" s="120"/>
      <c r="I178" s="121"/>
    </row>
    <row r="179" spans="1:9" s="28" customFormat="1" ht="18.75" customHeight="1" x14ac:dyDescent="0.2">
      <c r="A179" s="122" t="s">
        <v>61</v>
      </c>
      <c r="B179" s="123"/>
      <c r="C179" s="69">
        <v>4215</v>
      </c>
      <c r="D179" s="53" t="s">
        <v>244</v>
      </c>
      <c r="E179" s="124" t="str">
        <f>VLOOKUP(C179,'PUNTOS DE VENTA'!$A$1:$C$75,3)</f>
        <v>XA243</v>
      </c>
      <c r="F179" s="125"/>
      <c r="G179" s="70" t="s">
        <v>62</v>
      </c>
      <c r="H179" s="126">
        <f>'RESUMEN DE PUNTOS DE VENTA'!$C$4</f>
        <v>2900678609</v>
      </c>
      <c r="I179" s="127"/>
    </row>
    <row r="180" spans="1:9" s="28" customFormat="1" ht="18.75" customHeight="1" x14ac:dyDescent="0.2">
      <c r="A180" s="122" t="s">
        <v>63</v>
      </c>
      <c r="B180" s="123"/>
      <c r="C180" s="128" t="str">
        <f>UPPER(VLOOKUP(C179,'PUNTOS DE VENTA'!$A$1:$B$75,2))</f>
        <v>MAXI QUEPOS</v>
      </c>
      <c r="D180" s="128"/>
      <c r="E180" s="128"/>
      <c r="F180" s="128"/>
      <c r="G180" s="128"/>
      <c r="H180" s="128"/>
      <c r="I180" s="129"/>
    </row>
    <row r="181" spans="1:9" s="28" customFormat="1" ht="22.5" customHeight="1" x14ac:dyDescent="0.2">
      <c r="A181" s="130" t="s">
        <v>7</v>
      </c>
      <c r="B181" s="131"/>
      <c r="C181" s="71" t="s">
        <v>28</v>
      </c>
      <c r="D181" s="72" t="s">
        <v>11</v>
      </c>
      <c r="E181" s="72" t="s">
        <v>8</v>
      </c>
      <c r="F181" s="73" t="s">
        <v>64</v>
      </c>
      <c r="G181" s="132" t="s">
        <v>65</v>
      </c>
      <c r="H181" s="133"/>
      <c r="I181" s="74" t="s">
        <v>66</v>
      </c>
    </row>
    <row r="182" spans="1:9" s="28" customFormat="1" x14ac:dyDescent="0.2">
      <c r="A182" s="32">
        <v>1</v>
      </c>
      <c r="B182" s="30">
        <f>IF(SUMIFS('RESUMEN DE PUNTOS DE VENTA'!C$7:C$145,'RESUMEN DE PUNTOS DE VENTA'!A$7:A$145,C179,'RESUMEN DE PUNTOS DE VENTA'!C$7:C$145,"2645516") = 2645516, 2645516, IF(SUMIFS('RESUMEN DE PUNTOS DE VENTA'!C$7:C$145,'RESUMEN DE PUNTOS DE VENTA'!A$7:A$145,C179,'RESUMEN DE PUNTOS DE VENTA'!C$7:C$145,"2647973") = 2647973, 2647973, ""))</f>
        <v>2647973</v>
      </c>
      <c r="C182" s="31" t="str">
        <f>IF(B182&lt;&gt;"",UPPER(VLOOKUP(B182,CATALOGO!$A$8:$E$36,3)),"")</f>
        <v>ALMOHADA BEBE SENCILLA ESTAMPADA</v>
      </c>
      <c r="D182" s="31">
        <f>IF(B182&lt;&gt;"",VLOOKUP(B182,CATALOGO!$A$8:$E$36,2),"")</f>
        <v>7441119600768</v>
      </c>
      <c r="E182" s="29">
        <f>IF(B182&lt;&gt;"",VLOOKUP(B182,CATALOGO!$A$8:$E$36,5),"")</f>
        <v>3</v>
      </c>
      <c r="F182" s="29">
        <f>IF(B182&lt;&gt;"",SUMIFS('RESUMEN DE PUNTOS DE VENTA'!G$7:G$145,'RESUMEN DE PUNTOS DE VENTA'!A$7:A$145,C179,'RESUMEN DE PUNTOS DE VENTA'!C$7:C$145,CROSSDOCKING!B182),"")</f>
        <v>1</v>
      </c>
      <c r="G182" s="107">
        <f>IF(B182&lt;&gt;"",SUMIFS('RESUMEN DE PUNTOS DE VENTA'!H$7:H$145,'RESUMEN DE PUNTOS DE VENTA'!A$7:A$145,C179,'RESUMEN DE PUNTOS DE VENTA'!C$7:C$145,CROSSDOCKING!B182),"")</f>
        <v>1</v>
      </c>
      <c r="H182" s="108" t="e">
        <f>IF(D182&lt;&gt;"",SUMIFS('RESUMEN DE PUNTOS DE VENTA'!#REF!,'RESUMEN DE PUNTOS DE VENTA'!#REF!,E179,'RESUMEN DE PUNTOS DE VENTA'!#REF!,CROSSDOCKING!D182),"")</f>
        <v>#REF!</v>
      </c>
      <c r="I182" s="29">
        <f>IF(B182&lt;&gt;"",F182-G182,"")</f>
        <v>0</v>
      </c>
    </row>
    <row r="183" spans="1:9" s="28" customFormat="1" x14ac:dyDescent="0.2">
      <c r="A183" s="32">
        <v>2</v>
      </c>
      <c r="B183" s="30" t="str">
        <f>IF(AND(B182&lt;&gt;"",B182&lt;&gt;2647973),IF(SUMIFS('RESUMEN DE PUNTOS DE VENTA'!C$7:C$145,'RESUMEN DE PUNTOS DE VENTA'!A$7:A$145,C179,'RESUMEN DE PUNTOS DE VENTA'!C$7:C$145,"2647973")=2647973,2647973,""), "")</f>
        <v/>
      </c>
      <c r="C183" s="31" t="str">
        <f>IF(B183&lt;&gt;"",UPPER(VLOOKUP(B183,CATALOGO!$A$8:$E$36,3)),"")</f>
        <v/>
      </c>
      <c r="D183" s="31" t="str">
        <f>IF(B183&lt;&gt;"",VLOOKUP(B183,CATALOGO!$A$8:$E$36,2),"")</f>
        <v/>
      </c>
      <c r="E183" s="29" t="str">
        <f>IF(B183&lt;&gt;"",VLOOKUP(B183,CATALOGO!$A$8:$E$36,5),"")</f>
        <v/>
      </c>
      <c r="F183" s="29" t="str">
        <f>IF(B183&lt;&gt;"",SUMIFS('RESUMEN DE PUNTOS DE VENTA'!G$7:G$145,'RESUMEN DE PUNTOS DE VENTA'!A$7:A$145,C179,'RESUMEN DE PUNTOS DE VENTA'!C$7:C$145,CROSSDOCKING!B183),"")</f>
        <v/>
      </c>
      <c r="G183" s="107" t="str">
        <f>IF(B183&lt;&gt;"",SUMIFS('RESUMEN DE PUNTOS DE VENTA'!H$7:H$145,'RESUMEN DE PUNTOS DE VENTA'!A$7:A$145,C179,'RESUMEN DE PUNTOS DE VENTA'!C$7:C$145,CROSSDOCKING!B183),"")</f>
        <v/>
      </c>
      <c r="H183" s="108" t="str">
        <f>IF(D183&lt;&gt;"",SUMIFS('RESUMEN DE PUNTOS DE VENTA'!#REF!,'RESUMEN DE PUNTOS DE VENTA'!#REF!,E180,'RESUMEN DE PUNTOS DE VENTA'!#REF!,CROSSDOCKING!D183),"")</f>
        <v/>
      </c>
      <c r="I183" s="29" t="str">
        <f t="shared" ref="I183:I184" si="15">IF(B183&lt;&gt;"",F183-G183,"")</f>
        <v/>
      </c>
    </row>
    <row r="184" spans="1:9" s="28" customFormat="1" x14ac:dyDescent="0.2">
      <c r="A184" s="32">
        <v>3</v>
      </c>
      <c r="B184" s="30"/>
      <c r="C184" s="31" t="str">
        <f>IF(B184&lt;&gt;"",UPPER(VLOOKUP(B184,CATALOGO!$A$8:$E$36,3)),"")</f>
        <v/>
      </c>
      <c r="D184" s="31" t="str">
        <f>IF(B184&lt;&gt;"",VLOOKUP(B184,CATALOGO!$A$8:$E$36,2),"")</f>
        <v/>
      </c>
      <c r="E184" s="29" t="str">
        <f>IF(B184&lt;&gt;"",VLOOKUP(B184,CATALOGO!$A$8:$E$36,5),"")</f>
        <v/>
      </c>
      <c r="F184" s="29" t="str">
        <f>IF(B184&lt;&gt;"",SUMIFS('RESUMEN DE PUNTOS DE VENTA'!G$7:G$145,'RESUMEN DE PUNTOS DE VENTA'!A$7:A$145,C179,'RESUMEN DE PUNTOS DE VENTA'!C$7:C$145,CROSSDOCKING!B184),"")</f>
        <v/>
      </c>
      <c r="G184" s="107" t="str">
        <f>IF(B184&lt;&gt;"",SUMIFS('RESUMEN DE PUNTOS DE VENTA'!H$7:H$145,'RESUMEN DE PUNTOS DE VENTA'!A$7:A$145,C179,'RESUMEN DE PUNTOS DE VENTA'!C$7:C$145,CROSSDOCKING!B184),"")</f>
        <v/>
      </c>
      <c r="H184" s="108" t="str">
        <f>IF(D184&lt;&gt;"",SUMIFS('RESUMEN DE PUNTOS DE VENTA'!#REF!,'RESUMEN DE PUNTOS DE VENTA'!#REF!,E181,'RESUMEN DE PUNTOS DE VENTA'!#REF!,CROSSDOCKING!D184),"")</f>
        <v/>
      </c>
      <c r="I184" s="29" t="str">
        <f t="shared" si="15"/>
        <v/>
      </c>
    </row>
    <row r="185" spans="1:9" s="28" customFormat="1" ht="15" customHeight="1" x14ac:dyDescent="0.2">
      <c r="A185" s="109" t="s">
        <v>67</v>
      </c>
      <c r="B185" s="110"/>
      <c r="C185" s="110"/>
      <c r="D185" s="110"/>
      <c r="E185" s="111"/>
      <c r="F185" s="29">
        <f>SUM(F182:F184)</f>
        <v>1</v>
      </c>
      <c r="G185" s="107">
        <f>SUM(G182:G184)</f>
        <v>1</v>
      </c>
      <c r="H185" s="108"/>
      <c r="I185" s="29">
        <f>SUM(I182:I184)</f>
        <v>0</v>
      </c>
    </row>
    <row r="186" spans="1:9" s="28" customFormat="1" ht="15" customHeight="1" x14ac:dyDescent="0.2">
      <c r="A186" s="134" t="s">
        <v>150</v>
      </c>
      <c r="B186" s="135"/>
      <c r="C186" s="52">
        <f>COUNTIF($A$1:I185, "TOTAL")</f>
        <v>16</v>
      </c>
      <c r="D186" s="135" t="s">
        <v>146</v>
      </c>
      <c r="E186" s="135"/>
      <c r="F186" s="136">
        <f>CAJAS!$C$21</f>
        <v>33</v>
      </c>
      <c r="G186" s="136"/>
      <c r="H186" s="136"/>
      <c r="I186" s="137"/>
    </row>
    <row r="187" spans="1:9" s="28" customFormat="1" ht="10" customHeight="1" thickBot="1" x14ac:dyDescent="0.25">
      <c r="A187" s="138"/>
      <c r="B187" s="138"/>
      <c r="C187" s="138"/>
      <c r="D187" s="138"/>
      <c r="E187" s="138"/>
      <c r="F187" s="138"/>
      <c r="G187" s="138"/>
      <c r="H187" s="138"/>
      <c r="I187" s="138"/>
    </row>
    <row r="188" spans="1:9" s="28" customFormat="1" ht="10" customHeight="1" thickTop="1" x14ac:dyDescent="0.2">
      <c r="A188" s="115"/>
      <c r="B188" s="115"/>
      <c r="C188" s="115"/>
      <c r="D188" s="115"/>
      <c r="E188" s="115"/>
      <c r="F188" s="115"/>
      <c r="G188" s="115"/>
      <c r="H188" s="115"/>
      <c r="I188" s="115"/>
    </row>
    <row r="189" spans="1:9" s="28" customFormat="1" ht="16" x14ac:dyDescent="0.2">
      <c r="A189" s="116" t="s">
        <v>59</v>
      </c>
      <c r="B189" s="117"/>
      <c r="C189" s="117"/>
      <c r="D189" s="117"/>
      <c r="E189" s="117"/>
      <c r="F189" s="117"/>
      <c r="G189" s="117"/>
      <c r="H189" s="117"/>
      <c r="I189" s="118"/>
    </row>
    <row r="190" spans="1:9" s="28" customFormat="1" ht="16" x14ac:dyDescent="0.2">
      <c r="A190" s="119" t="s">
        <v>60</v>
      </c>
      <c r="B190" s="120"/>
      <c r="C190" s="120"/>
      <c r="D190" s="120"/>
      <c r="E190" s="120"/>
      <c r="F190" s="120"/>
      <c r="G190" s="120"/>
      <c r="H190" s="120"/>
      <c r="I190" s="121"/>
    </row>
    <row r="191" spans="1:9" s="28" customFormat="1" ht="18.75" customHeight="1" x14ac:dyDescent="0.2">
      <c r="A191" s="122" t="s">
        <v>61</v>
      </c>
      <c r="B191" s="123"/>
      <c r="C191" s="69">
        <v>4318</v>
      </c>
      <c r="D191" s="53" t="s">
        <v>244</v>
      </c>
      <c r="E191" s="124" t="str">
        <f>VLOOKUP(C191,'PUNTOS DE VENTA'!$A$1:$C$75,3)</f>
        <v>XA283</v>
      </c>
      <c r="F191" s="125"/>
      <c r="G191" s="70" t="s">
        <v>62</v>
      </c>
      <c r="H191" s="126">
        <f>'RESUMEN DE PUNTOS DE VENTA'!$C$4</f>
        <v>2900678609</v>
      </c>
      <c r="I191" s="127"/>
    </row>
    <row r="192" spans="1:9" s="28" customFormat="1" ht="18.75" customHeight="1" x14ac:dyDescent="0.2">
      <c r="A192" s="122" t="s">
        <v>63</v>
      </c>
      <c r="B192" s="123"/>
      <c r="C192" s="128" t="str">
        <f>UPPER(VLOOKUP(C191,'PUNTOS DE VENTA'!$A$1:$B$75,2))</f>
        <v>MAXI MERCEDES NORTE</v>
      </c>
      <c r="D192" s="128"/>
      <c r="E192" s="128"/>
      <c r="F192" s="128"/>
      <c r="G192" s="128"/>
      <c r="H192" s="128"/>
      <c r="I192" s="129"/>
    </row>
    <row r="193" spans="1:9" s="28" customFormat="1" ht="22.5" customHeight="1" x14ac:dyDescent="0.2">
      <c r="A193" s="130" t="s">
        <v>7</v>
      </c>
      <c r="B193" s="131"/>
      <c r="C193" s="71" t="s">
        <v>28</v>
      </c>
      <c r="D193" s="72" t="s">
        <v>11</v>
      </c>
      <c r="E193" s="72" t="s">
        <v>8</v>
      </c>
      <c r="F193" s="73" t="s">
        <v>64</v>
      </c>
      <c r="G193" s="132" t="s">
        <v>65</v>
      </c>
      <c r="H193" s="133"/>
      <c r="I193" s="74" t="s">
        <v>66</v>
      </c>
    </row>
    <row r="194" spans="1:9" s="28" customFormat="1" x14ac:dyDescent="0.2">
      <c r="A194" s="32">
        <v>1</v>
      </c>
      <c r="B194" s="30">
        <f>IF(SUMIFS('RESUMEN DE PUNTOS DE VENTA'!C$7:C$145,'RESUMEN DE PUNTOS DE VENTA'!A$7:A$145,C191,'RESUMEN DE PUNTOS DE VENTA'!C$7:C$145,"2645516") = 2645516, 2645516, IF(SUMIFS('RESUMEN DE PUNTOS DE VENTA'!C$7:C$145,'RESUMEN DE PUNTOS DE VENTA'!A$7:A$145,C191,'RESUMEN DE PUNTOS DE VENTA'!C$7:C$145,"2647973") = 2647973, 2647973, ""))</f>
        <v>2645516</v>
      </c>
      <c r="C194" s="31" t="str">
        <f>IF(B194&lt;&gt;"",UPPER(VLOOKUP(B194,CATALOGO!$A$8:$E$36,3)),"")</f>
        <v>ALMOHADA Y FUNDA BEBE COLORES SURTIDOS DOCOMA</v>
      </c>
      <c r="D194" s="31">
        <f>IF(B194&lt;&gt;"",VLOOKUP(B194,CATALOGO!$A$8:$E$36,2),"")</f>
        <v>7441119600652</v>
      </c>
      <c r="E194" s="29">
        <f>IF(B194&lt;&gt;"",VLOOKUP(B194,CATALOGO!$A$8:$E$36,5),"")</f>
        <v>3</v>
      </c>
      <c r="F194" s="29">
        <f>IF(B194&lt;&gt;"",SUMIFS('RESUMEN DE PUNTOS DE VENTA'!G$7:G$145,'RESUMEN DE PUNTOS DE VENTA'!A$7:A$145,C191,'RESUMEN DE PUNTOS DE VENTA'!C$7:C$145,CROSSDOCKING!B194),"")</f>
        <v>1</v>
      </c>
      <c r="G194" s="107">
        <f>IF(B194&lt;&gt;"",SUMIFS('RESUMEN DE PUNTOS DE VENTA'!H$7:H$145,'RESUMEN DE PUNTOS DE VENTA'!A$7:A$145,C191,'RESUMEN DE PUNTOS DE VENTA'!C$7:C$145,CROSSDOCKING!B194),"")</f>
        <v>1</v>
      </c>
      <c r="H194" s="108" t="e">
        <f>IF(D194&lt;&gt;"",SUMIFS('RESUMEN DE PUNTOS DE VENTA'!#REF!,'RESUMEN DE PUNTOS DE VENTA'!#REF!,E191,'RESUMEN DE PUNTOS DE VENTA'!#REF!,CROSSDOCKING!D194),"")</f>
        <v>#REF!</v>
      </c>
      <c r="I194" s="29">
        <f>IF(B194&lt;&gt;"",F194-G194,"")</f>
        <v>0</v>
      </c>
    </row>
    <row r="195" spans="1:9" s="28" customFormat="1" x14ac:dyDescent="0.2">
      <c r="A195" s="32">
        <v>2</v>
      </c>
      <c r="B195" s="30">
        <f>IF(AND(B194&lt;&gt;"",B194&lt;&gt;2647973),IF(SUMIFS('RESUMEN DE PUNTOS DE VENTA'!C$7:C$145,'RESUMEN DE PUNTOS DE VENTA'!A$7:A$145,C191,'RESUMEN DE PUNTOS DE VENTA'!C$7:C$145,"2647973")=2647973,2647973,""), "")</f>
        <v>2647973</v>
      </c>
      <c r="C195" s="31" t="str">
        <f>IF(B195&lt;&gt;"",UPPER(VLOOKUP(B195,CATALOGO!$A$8:$E$36,3)),"")</f>
        <v>ALMOHADA BEBE SENCILLA ESTAMPADA</v>
      </c>
      <c r="D195" s="31">
        <f>IF(B195&lt;&gt;"",VLOOKUP(B195,CATALOGO!$A$8:$E$36,2),"")</f>
        <v>7441119600768</v>
      </c>
      <c r="E195" s="29">
        <f>IF(B195&lt;&gt;"",VLOOKUP(B195,CATALOGO!$A$8:$E$36,5),"")</f>
        <v>3</v>
      </c>
      <c r="F195" s="29">
        <f>IF(B195&lt;&gt;"",SUMIFS('RESUMEN DE PUNTOS DE VENTA'!G$7:G$145,'RESUMEN DE PUNTOS DE VENTA'!A$7:A$145,C191,'RESUMEN DE PUNTOS DE VENTA'!C$7:C$145,CROSSDOCKING!B195),"")</f>
        <v>1</v>
      </c>
      <c r="G195" s="107">
        <f>IF(B195&lt;&gt;"",SUMIFS('RESUMEN DE PUNTOS DE VENTA'!H$7:H$145,'RESUMEN DE PUNTOS DE VENTA'!A$7:A$145,C191,'RESUMEN DE PUNTOS DE VENTA'!C$7:C$145,CROSSDOCKING!B195),"")</f>
        <v>1</v>
      </c>
      <c r="H195" s="108" t="e">
        <f>IF(D195&lt;&gt;"",SUMIFS('RESUMEN DE PUNTOS DE VENTA'!#REF!,'RESUMEN DE PUNTOS DE VENTA'!#REF!,E192,'RESUMEN DE PUNTOS DE VENTA'!#REF!,CROSSDOCKING!D195),"")</f>
        <v>#REF!</v>
      </c>
      <c r="I195" s="29">
        <f t="shared" ref="I195:I196" si="16">IF(B195&lt;&gt;"",F195-G195,"")</f>
        <v>0</v>
      </c>
    </row>
    <row r="196" spans="1:9" s="28" customFormat="1" x14ac:dyDescent="0.2">
      <c r="A196" s="32">
        <v>3</v>
      </c>
      <c r="B196" s="30"/>
      <c r="C196" s="31" t="str">
        <f>IF(B196&lt;&gt;"",UPPER(VLOOKUP(B196,CATALOGO!$A$8:$E$36,3)),"")</f>
        <v/>
      </c>
      <c r="D196" s="31" t="str">
        <f>IF(B196&lt;&gt;"",VLOOKUP(B196,CATALOGO!$A$8:$E$36,2),"")</f>
        <v/>
      </c>
      <c r="E196" s="29" t="str">
        <f>IF(B196&lt;&gt;"",VLOOKUP(B196,CATALOGO!$A$8:$E$36,5),"")</f>
        <v/>
      </c>
      <c r="F196" s="29" t="str">
        <f>IF(B196&lt;&gt;"",SUMIFS('RESUMEN DE PUNTOS DE VENTA'!G$7:G$145,'RESUMEN DE PUNTOS DE VENTA'!A$7:A$145,C191,'RESUMEN DE PUNTOS DE VENTA'!C$7:C$145,CROSSDOCKING!B196),"")</f>
        <v/>
      </c>
      <c r="G196" s="107" t="str">
        <f>IF(B196&lt;&gt;"",SUMIFS('RESUMEN DE PUNTOS DE VENTA'!H$7:H$145,'RESUMEN DE PUNTOS DE VENTA'!A$7:A$145,C191,'RESUMEN DE PUNTOS DE VENTA'!C$7:C$145,CROSSDOCKING!B196),"")</f>
        <v/>
      </c>
      <c r="H196" s="108" t="str">
        <f>IF(D196&lt;&gt;"",SUMIFS('RESUMEN DE PUNTOS DE VENTA'!#REF!,'RESUMEN DE PUNTOS DE VENTA'!#REF!,E193,'RESUMEN DE PUNTOS DE VENTA'!#REF!,CROSSDOCKING!D196),"")</f>
        <v/>
      </c>
      <c r="I196" s="29" t="str">
        <f t="shared" si="16"/>
        <v/>
      </c>
    </row>
    <row r="197" spans="1:9" s="28" customFormat="1" x14ac:dyDescent="0.2">
      <c r="A197" s="109" t="s">
        <v>67</v>
      </c>
      <c r="B197" s="110"/>
      <c r="C197" s="110"/>
      <c r="D197" s="110"/>
      <c r="E197" s="111"/>
      <c r="F197" s="29">
        <f>SUM(F194:F196)</f>
        <v>2</v>
      </c>
      <c r="G197" s="107">
        <f>SUM(G194:G196)</f>
        <v>2</v>
      </c>
      <c r="H197" s="108"/>
      <c r="I197" s="29">
        <f>SUM(I194:I196)</f>
        <v>0</v>
      </c>
    </row>
    <row r="198" spans="1:9" s="28" customFormat="1" ht="15" customHeight="1" x14ac:dyDescent="0.2">
      <c r="A198" s="134" t="s">
        <v>150</v>
      </c>
      <c r="B198" s="135"/>
      <c r="C198" s="52">
        <f>COUNTIF($A$1:I197, "TOTAL")</f>
        <v>17</v>
      </c>
      <c r="D198" s="135" t="s">
        <v>146</v>
      </c>
      <c r="E198" s="135"/>
      <c r="F198" s="136">
        <f>CAJAS!$C$21</f>
        <v>33</v>
      </c>
      <c r="G198" s="136"/>
      <c r="H198" s="136"/>
      <c r="I198" s="137"/>
    </row>
    <row r="199" spans="1:9" s="28" customFormat="1" ht="10" customHeight="1" thickBot="1" x14ac:dyDescent="0.25">
      <c r="A199" s="138"/>
      <c r="B199" s="138"/>
      <c r="C199" s="138"/>
      <c r="D199" s="138"/>
      <c r="E199" s="138"/>
      <c r="F199" s="138"/>
      <c r="G199" s="138"/>
      <c r="H199" s="138"/>
      <c r="I199" s="138"/>
    </row>
    <row r="200" spans="1:9" s="28" customFormat="1" ht="10" customHeight="1" thickTop="1" x14ac:dyDescent="0.2">
      <c r="A200" s="115"/>
      <c r="B200" s="115"/>
      <c r="C200" s="115"/>
      <c r="D200" s="115"/>
      <c r="E200" s="115"/>
      <c r="F200" s="115"/>
      <c r="G200" s="115"/>
      <c r="H200" s="115"/>
      <c r="I200" s="115"/>
    </row>
    <row r="201" spans="1:9" s="28" customFormat="1" ht="16" x14ac:dyDescent="0.2">
      <c r="A201" s="116" t="s">
        <v>59</v>
      </c>
      <c r="B201" s="117"/>
      <c r="C201" s="117"/>
      <c r="D201" s="117"/>
      <c r="E201" s="117"/>
      <c r="F201" s="117"/>
      <c r="G201" s="117"/>
      <c r="H201" s="117"/>
      <c r="I201" s="118"/>
    </row>
    <row r="202" spans="1:9" s="28" customFormat="1" ht="16" x14ac:dyDescent="0.2">
      <c r="A202" s="119" t="s">
        <v>60</v>
      </c>
      <c r="B202" s="120"/>
      <c r="C202" s="120"/>
      <c r="D202" s="120"/>
      <c r="E202" s="120"/>
      <c r="F202" s="120"/>
      <c r="G202" s="120"/>
      <c r="H202" s="120"/>
      <c r="I202" s="121"/>
    </row>
    <row r="203" spans="1:9" s="28" customFormat="1" ht="18.75" customHeight="1" x14ac:dyDescent="0.2">
      <c r="A203" s="122" t="s">
        <v>61</v>
      </c>
      <c r="B203" s="123"/>
      <c r="C203" s="69">
        <v>4341</v>
      </c>
      <c r="D203" s="53" t="s">
        <v>244</v>
      </c>
      <c r="E203" s="124" t="str">
        <f>VLOOKUP(C203,'PUNTOS DE VENTA'!$A$1:$C$75,3)</f>
        <v>XA245</v>
      </c>
      <c r="F203" s="125"/>
      <c r="G203" s="70" t="s">
        <v>62</v>
      </c>
      <c r="H203" s="126">
        <f>'RESUMEN DE PUNTOS DE VENTA'!$C$4</f>
        <v>2900678609</v>
      </c>
      <c r="I203" s="127"/>
    </row>
    <row r="204" spans="1:9" s="28" customFormat="1" ht="18.75" customHeight="1" x14ac:dyDescent="0.2">
      <c r="A204" s="122" t="s">
        <v>63</v>
      </c>
      <c r="B204" s="123"/>
      <c r="C204" s="128" t="str">
        <f>UPPER(VLOOKUP(C203,'PUNTOS DE VENTA'!$A$1:$B$75,2))</f>
        <v>MAXI ESPARZA</v>
      </c>
      <c r="D204" s="128"/>
      <c r="E204" s="128"/>
      <c r="F204" s="128"/>
      <c r="G204" s="128"/>
      <c r="H204" s="128"/>
      <c r="I204" s="129"/>
    </row>
    <row r="205" spans="1:9" s="28" customFormat="1" ht="22.5" customHeight="1" x14ac:dyDescent="0.2">
      <c r="A205" s="130" t="s">
        <v>7</v>
      </c>
      <c r="B205" s="131"/>
      <c r="C205" s="71" t="s">
        <v>28</v>
      </c>
      <c r="D205" s="72" t="s">
        <v>11</v>
      </c>
      <c r="E205" s="72" t="s">
        <v>8</v>
      </c>
      <c r="F205" s="73" t="s">
        <v>64</v>
      </c>
      <c r="G205" s="132" t="s">
        <v>65</v>
      </c>
      <c r="H205" s="133"/>
      <c r="I205" s="74" t="s">
        <v>66</v>
      </c>
    </row>
    <row r="206" spans="1:9" s="28" customFormat="1" x14ac:dyDescent="0.2">
      <c r="A206" s="32">
        <v>1</v>
      </c>
      <c r="B206" s="30">
        <f>IF(SUMIFS('RESUMEN DE PUNTOS DE VENTA'!C$7:C$145,'RESUMEN DE PUNTOS DE VENTA'!A$7:A$145,C203,'RESUMEN DE PUNTOS DE VENTA'!C$7:C$145,"2645516") = 2645516, 2645516, IF(SUMIFS('RESUMEN DE PUNTOS DE VENTA'!C$7:C$145,'RESUMEN DE PUNTOS DE VENTA'!A$7:A$145,C203,'RESUMEN DE PUNTOS DE VENTA'!C$7:C$145,"2647973") = 2647973, 2647973, ""))</f>
        <v>2645516</v>
      </c>
      <c r="C206" s="31" t="str">
        <f>IF(B206&lt;&gt;"",UPPER(VLOOKUP(B206,CATALOGO!$A$8:$E$36,3)),"")</f>
        <v>ALMOHADA Y FUNDA BEBE COLORES SURTIDOS DOCOMA</v>
      </c>
      <c r="D206" s="31">
        <f>IF(B206&lt;&gt;"",VLOOKUP(B206,CATALOGO!$A$8:$E$36,2),"")</f>
        <v>7441119600652</v>
      </c>
      <c r="E206" s="29">
        <f>IF(B206&lt;&gt;"",VLOOKUP(B206,CATALOGO!$A$8:$E$36,5),"")</f>
        <v>3</v>
      </c>
      <c r="F206" s="29">
        <f>IF(B206&lt;&gt;"",SUMIFS('RESUMEN DE PUNTOS DE VENTA'!G$7:G$145,'RESUMEN DE PUNTOS DE VENTA'!A$7:A$145,C203,'RESUMEN DE PUNTOS DE VENTA'!C$7:C$145,CROSSDOCKING!B206),"")</f>
        <v>1</v>
      </c>
      <c r="G206" s="107">
        <f>IF(B206&lt;&gt;"",SUMIFS('RESUMEN DE PUNTOS DE VENTA'!H$7:H$145,'RESUMEN DE PUNTOS DE VENTA'!A$7:A$145,C203,'RESUMEN DE PUNTOS DE VENTA'!C$7:C$145,CROSSDOCKING!B206),"")</f>
        <v>1</v>
      </c>
      <c r="H206" s="108" t="e">
        <f>IF(D206&lt;&gt;"",SUMIFS('RESUMEN DE PUNTOS DE VENTA'!#REF!,'RESUMEN DE PUNTOS DE VENTA'!#REF!,E203,'RESUMEN DE PUNTOS DE VENTA'!#REF!,CROSSDOCKING!D206),"")</f>
        <v>#REF!</v>
      </c>
      <c r="I206" s="29">
        <f>IF(B206&lt;&gt;"",F206-G206,"")</f>
        <v>0</v>
      </c>
    </row>
    <row r="207" spans="1:9" s="28" customFormat="1" x14ac:dyDescent="0.2">
      <c r="A207" s="32">
        <v>2</v>
      </c>
      <c r="B207" s="30">
        <f>IF(AND(B206&lt;&gt;"",B206&lt;&gt;2647973),IF(SUMIFS('RESUMEN DE PUNTOS DE VENTA'!C$7:C$145,'RESUMEN DE PUNTOS DE VENTA'!A$7:A$145,C203,'RESUMEN DE PUNTOS DE VENTA'!C$7:C$145,"2647973")=2647973,2647973,""), "")</f>
        <v>2647973</v>
      </c>
      <c r="C207" s="31" t="str">
        <f>IF(B207&lt;&gt;"",UPPER(VLOOKUP(B207,CATALOGO!$A$8:$E$36,3)),"")</f>
        <v>ALMOHADA BEBE SENCILLA ESTAMPADA</v>
      </c>
      <c r="D207" s="31">
        <f>IF(B207&lt;&gt;"",VLOOKUP(B207,CATALOGO!$A$8:$E$36,2),"")</f>
        <v>7441119600768</v>
      </c>
      <c r="E207" s="29">
        <f>IF(B207&lt;&gt;"",VLOOKUP(B207,CATALOGO!$A$8:$E$36,5),"")</f>
        <v>3</v>
      </c>
      <c r="F207" s="29">
        <f>IF(B207&lt;&gt;"",SUMIFS('RESUMEN DE PUNTOS DE VENTA'!G$7:G$145,'RESUMEN DE PUNTOS DE VENTA'!A$7:A$145,C203,'RESUMEN DE PUNTOS DE VENTA'!C$7:C$145,CROSSDOCKING!B207),"")</f>
        <v>1</v>
      </c>
      <c r="G207" s="107">
        <f>IF(B207&lt;&gt;"",SUMIFS('RESUMEN DE PUNTOS DE VENTA'!H$7:H$145,'RESUMEN DE PUNTOS DE VENTA'!A$7:A$145,C203,'RESUMEN DE PUNTOS DE VENTA'!C$7:C$145,CROSSDOCKING!B207),"")</f>
        <v>1</v>
      </c>
      <c r="H207" s="108" t="e">
        <f>IF(D207&lt;&gt;"",SUMIFS('RESUMEN DE PUNTOS DE VENTA'!#REF!,'RESUMEN DE PUNTOS DE VENTA'!#REF!,E204,'RESUMEN DE PUNTOS DE VENTA'!#REF!,CROSSDOCKING!D207),"")</f>
        <v>#REF!</v>
      </c>
      <c r="I207" s="29">
        <f t="shared" ref="I207:I208" si="17">IF(B207&lt;&gt;"",F207-G207,"")</f>
        <v>0</v>
      </c>
    </row>
    <row r="208" spans="1:9" s="28" customFormat="1" x14ac:dyDescent="0.2">
      <c r="A208" s="32">
        <v>3</v>
      </c>
      <c r="B208" s="30"/>
      <c r="C208" s="31" t="str">
        <f>IF(B208&lt;&gt;"",UPPER(VLOOKUP(B208,CATALOGO!$A$8:$E$36,3)),"")</f>
        <v/>
      </c>
      <c r="D208" s="31" t="str">
        <f>IF(B208&lt;&gt;"",VLOOKUP(B208,CATALOGO!$A$8:$E$36,2),"")</f>
        <v/>
      </c>
      <c r="E208" s="29" t="str">
        <f>IF(B208&lt;&gt;"",VLOOKUP(B208,CATALOGO!$A$8:$E$36,5),"")</f>
        <v/>
      </c>
      <c r="F208" s="29" t="str">
        <f>IF(B208&lt;&gt;"",SUMIFS('RESUMEN DE PUNTOS DE VENTA'!G$7:G$145,'RESUMEN DE PUNTOS DE VENTA'!A$7:A$145,C203,'RESUMEN DE PUNTOS DE VENTA'!C$7:C$145,CROSSDOCKING!B208),"")</f>
        <v/>
      </c>
      <c r="G208" s="107" t="str">
        <f>IF(B208&lt;&gt;"",SUMIFS('RESUMEN DE PUNTOS DE VENTA'!H$7:H$145,'RESUMEN DE PUNTOS DE VENTA'!A$7:A$145,C203,'RESUMEN DE PUNTOS DE VENTA'!C$7:C$145,CROSSDOCKING!B208),"")</f>
        <v/>
      </c>
      <c r="H208" s="108" t="str">
        <f>IF(D208&lt;&gt;"",SUMIFS('RESUMEN DE PUNTOS DE VENTA'!#REF!,'RESUMEN DE PUNTOS DE VENTA'!#REF!,E205,'RESUMEN DE PUNTOS DE VENTA'!#REF!,CROSSDOCKING!D208),"")</f>
        <v/>
      </c>
      <c r="I208" s="29" t="str">
        <f t="shared" si="17"/>
        <v/>
      </c>
    </row>
    <row r="209" spans="1:9" s="28" customFormat="1" ht="15" customHeight="1" x14ac:dyDescent="0.2">
      <c r="A209" s="109" t="s">
        <v>67</v>
      </c>
      <c r="B209" s="110"/>
      <c r="C209" s="110"/>
      <c r="D209" s="110"/>
      <c r="E209" s="111"/>
      <c r="F209" s="29">
        <f>SUM(F206:F208)</f>
        <v>2</v>
      </c>
      <c r="G209" s="107">
        <f>SUM(G206:G208)</f>
        <v>2</v>
      </c>
      <c r="H209" s="108"/>
      <c r="I209" s="29">
        <f>SUM(I206:I208)</f>
        <v>0</v>
      </c>
    </row>
    <row r="210" spans="1:9" s="28" customFormat="1" ht="15" customHeight="1" x14ac:dyDescent="0.2">
      <c r="A210" s="107" t="s">
        <v>150</v>
      </c>
      <c r="B210" s="112"/>
      <c r="C210" s="54">
        <f>COUNTIF($A$1:I209, "TOTAL")</f>
        <v>18</v>
      </c>
      <c r="D210" s="112" t="s">
        <v>146</v>
      </c>
      <c r="E210" s="112"/>
      <c r="F210" s="113">
        <f>CAJAS!$C$21</f>
        <v>33</v>
      </c>
      <c r="G210" s="113"/>
      <c r="H210" s="113"/>
      <c r="I210" s="114"/>
    </row>
    <row r="211" spans="1:9" s="28" customFormat="1" ht="16" x14ac:dyDescent="0.2">
      <c r="A211" s="116" t="s">
        <v>59</v>
      </c>
      <c r="B211" s="117"/>
      <c r="C211" s="117"/>
      <c r="D211" s="117"/>
      <c r="E211" s="117"/>
      <c r="F211" s="117"/>
      <c r="G211" s="117"/>
      <c r="H211" s="117"/>
      <c r="I211" s="118"/>
    </row>
    <row r="212" spans="1:9" s="28" customFormat="1" ht="16" x14ac:dyDescent="0.2">
      <c r="A212" s="119" t="s">
        <v>60</v>
      </c>
      <c r="B212" s="120"/>
      <c r="C212" s="120"/>
      <c r="D212" s="120"/>
      <c r="E212" s="120"/>
      <c r="F212" s="120"/>
      <c r="G212" s="120"/>
      <c r="H212" s="120"/>
      <c r="I212" s="121"/>
    </row>
    <row r="213" spans="1:9" s="28" customFormat="1" ht="18.75" customHeight="1" x14ac:dyDescent="0.2">
      <c r="A213" s="122" t="s">
        <v>61</v>
      </c>
      <c r="B213" s="123"/>
      <c r="C213" s="69">
        <v>4369</v>
      </c>
      <c r="D213" s="53" t="s">
        <v>244</v>
      </c>
      <c r="E213" s="124" t="str">
        <f>VLOOKUP(C213,'PUNTOS DE VENTA'!$A$1:$C$75,3)</f>
        <v>XA274</v>
      </c>
      <c r="F213" s="125"/>
      <c r="G213" s="70" t="s">
        <v>62</v>
      </c>
      <c r="H213" s="126">
        <f>'RESUMEN DE PUNTOS DE VENTA'!$C$4</f>
        <v>2900678609</v>
      </c>
      <c r="I213" s="127"/>
    </row>
    <row r="214" spans="1:9" s="28" customFormat="1" ht="18.75" customHeight="1" x14ac:dyDescent="0.2">
      <c r="A214" s="122" t="s">
        <v>63</v>
      </c>
      <c r="B214" s="123"/>
      <c r="C214" s="128" t="str">
        <f>UPPER(VLOOKUP(C213,'PUNTOS DE VENTA'!$A$1:$B$75,2))</f>
        <v>MAXI SIQUIRRES</v>
      </c>
      <c r="D214" s="128"/>
      <c r="E214" s="128"/>
      <c r="F214" s="128"/>
      <c r="G214" s="128"/>
      <c r="H214" s="128"/>
      <c r="I214" s="129"/>
    </row>
    <row r="215" spans="1:9" s="28" customFormat="1" ht="22.5" customHeight="1" x14ac:dyDescent="0.2">
      <c r="A215" s="130" t="s">
        <v>7</v>
      </c>
      <c r="B215" s="131"/>
      <c r="C215" s="71" t="s">
        <v>28</v>
      </c>
      <c r="D215" s="72" t="s">
        <v>11</v>
      </c>
      <c r="E215" s="72" t="s">
        <v>8</v>
      </c>
      <c r="F215" s="73" t="s">
        <v>64</v>
      </c>
      <c r="G215" s="132" t="s">
        <v>65</v>
      </c>
      <c r="H215" s="133"/>
      <c r="I215" s="74" t="s">
        <v>66</v>
      </c>
    </row>
    <row r="216" spans="1:9" s="28" customFormat="1" x14ac:dyDescent="0.2">
      <c r="A216" s="32">
        <v>1</v>
      </c>
      <c r="B216" s="30">
        <f>IF(SUMIFS('RESUMEN DE PUNTOS DE VENTA'!C$7:C$145,'RESUMEN DE PUNTOS DE VENTA'!A$7:A$145,C213,'RESUMEN DE PUNTOS DE VENTA'!C$7:C$145,"2645516") = 2645516, 2645516, IF(SUMIFS('RESUMEN DE PUNTOS DE VENTA'!C$7:C$145,'RESUMEN DE PUNTOS DE VENTA'!A$7:A$145,C213,'RESUMEN DE PUNTOS DE VENTA'!C$7:C$145,"2647973") = 2647973, 2647973, ""))</f>
        <v>2645516</v>
      </c>
      <c r="C216" s="31" t="str">
        <f>IF(B216&lt;&gt;"",UPPER(VLOOKUP(B216,CATALOGO!$A$8:$E$36,3)),"")</f>
        <v>ALMOHADA Y FUNDA BEBE COLORES SURTIDOS DOCOMA</v>
      </c>
      <c r="D216" s="31">
        <f>IF(B216&lt;&gt;"",VLOOKUP(B216,CATALOGO!$A$8:$E$36,2),"")</f>
        <v>7441119600652</v>
      </c>
      <c r="E216" s="29">
        <f>IF(B216&lt;&gt;"",VLOOKUP(B216,CATALOGO!$A$8:$E$36,5),"")</f>
        <v>3</v>
      </c>
      <c r="F216" s="29">
        <f>IF(B216&lt;&gt;"",SUMIFS('RESUMEN DE PUNTOS DE VENTA'!G$7:G$145,'RESUMEN DE PUNTOS DE VENTA'!A$7:A$145,C213,'RESUMEN DE PUNTOS DE VENTA'!C$7:C$145,CROSSDOCKING!B216),"")</f>
        <v>1</v>
      </c>
      <c r="G216" s="107">
        <f>IF(B216&lt;&gt;"",SUMIFS('RESUMEN DE PUNTOS DE VENTA'!H$7:H$145,'RESUMEN DE PUNTOS DE VENTA'!A$7:A$145,C213,'RESUMEN DE PUNTOS DE VENTA'!C$7:C$145,CROSSDOCKING!B216),"")</f>
        <v>1</v>
      </c>
      <c r="H216" s="108" t="e">
        <f>IF(D216&lt;&gt;"",SUMIFS('RESUMEN DE PUNTOS DE VENTA'!#REF!,'RESUMEN DE PUNTOS DE VENTA'!#REF!,E213,'RESUMEN DE PUNTOS DE VENTA'!#REF!,CROSSDOCKING!D216),"")</f>
        <v>#REF!</v>
      </c>
      <c r="I216" s="29">
        <f>IF(B216&lt;&gt;"",F216-G216,"")</f>
        <v>0</v>
      </c>
    </row>
    <row r="217" spans="1:9" s="28" customFormat="1" x14ac:dyDescent="0.2">
      <c r="A217" s="32">
        <v>2</v>
      </c>
      <c r="B217" s="30" t="str">
        <f>IF(AND(B216&lt;&gt;"",B216&lt;&gt;2647973),IF(SUMIFS('RESUMEN DE PUNTOS DE VENTA'!C$7:C$145,'RESUMEN DE PUNTOS DE VENTA'!A$7:A$145,C213,'RESUMEN DE PUNTOS DE VENTA'!C$7:C$145,"2647973")=2647973,2647973,""), "")</f>
        <v/>
      </c>
      <c r="C217" s="31" t="str">
        <f>IF(B217&lt;&gt;"",UPPER(VLOOKUP(B217,CATALOGO!$A$8:$E$36,3)),"")</f>
        <v/>
      </c>
      <c r="D217" s="31" t="str">
        <f>IF(B217&lt;&gt;"",VLOOKUP(B217,CATALOGO!$A$8:$E$36,2),"")</f>
        <v/>
      </c>
      <c r="E217" s="29" t="str">
        <f>IF(B217&lt;&gt;"",VLOOKUP(B217,CATALOGO!$A$8:$E$36,5),"")</f>
        <v/>
      </c>
      <c r="F217" s="29" t="str">
        <f>IF(B217&lt;&gt;"",SUMIFS('RESUMEN DE PUNTOS DE VENTA'!G$7:G$145,'RESUMEN DE PUNTOS DE VENTA'!A$7:A$145,C213,'RESUMEN DE PUNTOS DE VENTA'!C$7:C$145,CROSSDOCKING!B217),"")</f>
        <v/>
      </c>
      <c r="G217" s="107" t="str">
        <f>IF(B217&lt;&gt;"",SUMIFS('RESUMEN DE PUNTOS DE VENTA'!H$7:H$145,'RESUMEN DE PUNTOS DE VENTA'!A$7:A$145,C213,'RESUMEN DE PUNTOS DE VENTA'!C$7:C$145,CROSSDOCKING!B217),"")</f>
        <v/>
      </c>
      <c r="H217" s="108" t="str">
        <f>IF(D217&lt;&gt;"",SUMIFS('RESUMEN DE PUNTOS DE VENTA'!#REF!,'RESUMEN DE PUNTOS DE VENTA'!#REF!,E214,'RESUMEN DE PUNTOS DE VENTA'!#REF!,CROSSDOCKING!D217),"")</f>
        <v/>
      </c>
      <c r="I217" s="29" t="str">
        <f t="shared" ref="I217:I218" si="18">IF(B217&lt;&gt;"",F217-G217,"")</f>
        <v/>
      </c>
    </row>
    <row r="218" spans="1:9" s="28" customFormat="1" x14ac:dyDescent="0.2">
      <c r="A218" s="32">
        <v>3</v>
      </c>
      <c r="B218" s="30"/>
      <c r="C218" s="31" t="str">
        <f>IF(B218&lt;&gt;"",UPPER(VLOOKUP(B218,CATALOGO!$A$8:$E$36,3)),"")</f>
        <v/>
      </c>
      <c r="D218" s="31" t="str">
        <f>IF(B218&lt;&gt;"",VLOOKUP(B218,CATALOGO!$A$8:$E$36,2),"")</f>
        <v/>
      </c>
      <c r="E218" s="29" t="str">
        <f>IF(B218&lt;&gt;"",VLOOKUP(B218,CATALOGO!$A$8:$E$36,5),"")</f>
        <v/>
      </c>
      <c r="F218" s="29" t="str">
        <f>IF(B218&lt;&gt;"",SUMIFS('RESUMEN DE PUNTOS DE VENTA'!G$7:G$145,'RESUMEN DE PUNTOS DE VENTA'!A$7:A$145,C213,'RESUMEN DE PUNTOS DE VENTA'!C$7:C$145,CROSSDOCKING!B218),"")</f>
        <v/>
      </c>
      <c r="G218" s="107" t="str">
        <f>IF(B218&lt;&gt;"",SUMIFS('RESUMEN DE PUNTOS DE VENTA'!H$7:H$145,'RESUMEN DE PUNTOS DE VENTA'!A$7:A$145,C213,'RESUMEN DE PUNTOS DE VENTA'!C$7:C$145,CROSSDOCKING!B218),"")</f>
        <v/>
      </c>
      <c r="H218" s="108" t="str">
        <f>IF(D218&lt;&gt;"",SUMIFS('RESUMEN DE PUNTOS DE VENTA'!#REF!,'RESUMEN DE PUNTOS DE VENTA'!#REF!,E215,'RESUMEN DE PUNTOS DE VENTA'!#REF!,CROSSDOCKING!D218),"")</f>
        <v/>
      </c>
      <c r="I218" s="29" t="str">
        <f t="shared" si="18"/>
        <v/>
      </c>
    </row>
    <row r="219" spans="1:9" s="28" customFormat="1" ht="15" customHeight="1" x14ac:dyDescent="0.2">
      <c r="A219" s="109" t="s">
        <v>67</v>
      </c>
      <c r="B219" s="110"/>
      <c r="C219" s="110"/>
      <c r="D219" s="110"/>
      <c r="E219" s="111"/>
      <c r="F219" s="29">
        <f>SUM(F216:F218)</f>
        <v>1</v>
      </c>
      <c r="G219" s="107">
        <f>SUM(G216:G218)</f>
        <v>1</v>
      </c>
      <c r="H219" s="108"/>
      <c r="I219" s="29">
        <f>SUM(I216:I218)</f>
        <v>0</v>
      </c>
    </row>
    <row r="220" spans="1:9" s="28" customFormat="1" ht="15" customHeight="1" x14ac:dyDescent="0.2">
      <c r="A220" s="134" t="s">
        <v>150</v>
      </c>
      <c r="B220" s="135"/>
      <c r="C220" s="52">
        <f>COUNTIF($A$1:I219, "TOTAL")</f>
        <v>19</v>
      </c>
      <c r="D220" s="135" t="s">
        <v>146</v>
      </c>
      <c r="E220" s="135"/>
      <c r="F220" s="136">
        <f>CAJAS!$C$21</f>
        <v>33</v>
      </c>
      <c r="G220" s="136"/>
      <c r="H220" s="136"/>
      <c r="I220" s="137"/>
    </row>
    <row r="221" spans="1:9" s="28" customFormat="1" ht="10" customHeight="1" thickBot="1" x14ac:dyDescent="0.25">
      <c r="A221" s="138"/>
      <c r="B221" s="138"/>
      <c r="C221" s="138"/>
      <c r="D221" s="138"/>
      <c r="E221" s="138"/>
      <c r="F221" s="138"/>
      <c r="G221" s="138"/>
      <c r="H221" s="138"/>
      <c r="I221" s="138"/>
    </row>
    <row r="222" spans="1:9" s="28" customFormat="1" ht="10" customHeight="1" thickTop="1" x14ac:dyDescent="0.2">
      <c r="A222" s="115"/>
      <c r="B222" s="115"/>
      <c r="C222" s="115"/>
      <c r="D222" s="115"/>
      <c r="E222" s="115"/>
      <c r="F222" s="115"/>
      <c r="G222" s="115"/>
      <c r="H222" s="115"/>
      <c r="I222" s="115"/>
    </row>
    <row r="223" spans="1:9" s="28" customFormat="1" ht="16" x14ac:dyDescent="0.2">
      <c r="A223" s="116" t="s">
        <v>59</v>
      </c>
      <c r="B223" s="117"/>
      <c r="C223" s="117"/>
      <c r="D223" s="117"/>
      <c r="E223" s="117"/>
      <c r="F223" s="117"/>
      <c r="G223" s="117"/>
      <c r="H223" s="117"/>
      <c r="I223" s="118"/>
    </row>
    <row r="224" spans="1:9" s="28" customFormat="1" ht="16" x14ac:dyDescent="0.2">
      <c r="A224" s="119" t="s">
        <v>60</v>
      </c>
      <c r="B224" s="120"/>
      <c r="C224" s="120"/>
      <c r="D224" s="120"/>
      <c r="E224" s="120"/>
      <c r="F224" s="120"/>
      <c r="G224" s="120"/>
      <c r="H224" s="120"/>
      <c r="I224" s="121"/>
    </row>
    <row r="225" spans="1:9" s="28" customFormat="1" ht="18.75" customHeight="1" x14ac:dyDescent="0.2">
      <c r="A225" s="122" t="s">
        <v>61</v>
      </c>
      <c r="B225" s="123"/>
      <c r="C225" s="69">
        <v>4383</v>
      </c>
      <c r="D225" s="53" t="s">
        <v>244</v>
      </c>
      <c r="E225" s="124" t="str">
        <f>VLOOKUP(C225,'PUNTOS DE VENTA'!$A$1:$C$75,3)</f>
        <v>XA121</v>
      </c>
      <c r="F225" s="125"/>
      <c r="G225" s="70" t="s">
        <v>62</v>
      </c>
      <c r="H225" s="126">
        <f>'RESUMEN DE PUNTOS DE VENTA'!$C$4</f>
        <v>2900678609</v>
      </c>
      <c r="I225" s="127"/>
    </row>
    <row r="226" spans="1:9" s="28" customFormat="1" ht="18.75" customHeight="1" x14ac:dyDescent="0.2">
      <c r="A226" s="122" t="s">
        <v>63</v>
      </c>
      <c r="B226" s="123"/>
      <c r="C226" s="128" t="str">
        <f>UPPER(VLOOKUP(C225,'PUNTOS DE VENTA'!$A$1:$B$75,2))</f>
        <v>MAXI PAVAS</v>
      </c>
      <c r="D226" s="128"/>
      <c r="E226" s="128"/>
      <c r="F226" s="128"/>
      <c r="G226" s="128"/>
      <c r="H226" s="128"/>
      <c r="I226" s="129"/>
    </row>
    <row r="227" spans="1:9" s="28" customFormat="1" ht="22.5" customHeight="1" x14ac:dyDescent="0.2">
      <c r="A227" s="130" t="s">
        <v>7</v>
      </c>
      <c r="B227" s="131"/>
      <c r="C227" s="71" t="s">
        <v>28</v>
      </c>
      <c r="D227" s="72" t="s">
        <v>11</v>
      </c>
      <c r="E227" s="72" t="s">
        <v>8</v>
      </c>
      <c r="F227" s="73" t="s">
        <v>64</v>
      </c>
      <c r="G227" s="132" t="s">
        <v>65</v>
      </c>
      <c r="H227" s="133"/>
      <c r="I227" s="74" t="s">
        <v>66</v>
      </c>
    </row>
    <row r="228" spans="1:9" s="28" customFormat="1" x14ac:dyDescent="0.2">
      <c r="A228" s="32">
        <v>1</v>
      </c>
      <c r="B228" s="30">
        <f>IF(SUMIFS('RESUMEN DE PUNTOS DE VENTA'!C$7:C$145,'RESUMEN DE PUNTOS DE VENTA'!A$7:A$145,C225,'RESUMEN DE PUNTOS DE VENTA'!C$7:C$145,"2645516") = 2645516, 2645516, IF(SUMIFS('RESUMEN DE PUNTOS DE VENTA'!C$7:C$145,'RESUMEN DE PUNTOS DE VENTA'!A$7:A$145,C225,'RESUMEN DE PUNTOS DE VENTA'!C$7:C$145,"2647973") = 2647973, 2647973, ""))</f>
        <v>2645516</v>
      </c>
      <c r="C228" s="31" t="str">
        <f>IF(B228&lt;&gt;"",UPPER(VLOOKUP(B228,CATALOGO!$A$8:$E$36,3)),"")</f>
        <v>ALMOHADA Y FUNDA BEBE COLORES SURTIDOS DOCOMA</v>
      </c>
      <c r="D228" s="31">
        <f>IF(B228&lt;&gt;"",VLOOKUP(B228,CATALOGO!$A$8:$E$36,2),"")</f>
        <v>7441119600652</v>
      </c>
      <c r="E228" s="29">
        <f>IF(B228&lt;&gt;"",VLOOKUP(B228,CATALOGO!$A$8:$E$36,5),"")</f>
        <v>3</v>
      </c>
      <c r="F228" s="29">
        <f>IF(B228&lt;&gt;"",SUMIFS('RESUMEN DE PUNTOS DE VENTA'!G$7:G$145,'RESUMEN DE PUNTOS DE VENTA'!A$7:A$145,C225,'RESUMEN DE PUNTOS DE VENTA'!C$7:C$145,CROSSDOCKING!B228),"")</f>
        <v>1</v>
      </c>
      <c r="G228" s="107">
        <f>IF(B228&lt;&gt;"",SUMIFS('RESUMEN DE PUNTOS DE VENTA'!H$7:H$145,'RESUMEN DE PUNTOS DE VENTA'!A$7:A$145,C225,'RESUMEN DE PUNTOS DE VENTA'!C$7:C$145,CROSSDOCKING!B228),"")</f>
        <v>1</v>
      </c>
      <c r="H228" s="108" t="e">
        <f>IF(D228&lt;&gt;"",SUMIFS('RESUMEN DE PUNTOS DE VENTA'!#REF!,'RESUMEN DE PUNTOS DE VENTA'!#REF!,E225,'RESUMEN DE PUNTOS DE VENTA'!#REF!,CROSSDOCKING!D228),"")</f>
        <v>#REF!</v>
      </c>
      <c r="I228" s="29">
        <f>IF(B228&lt;&gt;"",F228-G228,"")</f>
        <v>0</v>
      </c>
    </row>
    <row r="229" spans="1:9" s="28" customFormat="1" x14ac:dyDescent="0.2">
      <c r="A229" s="32">
        <v>2</v>
      </c>
      <c r="B229" s="30">
        <f>IF(AND(B228&lt;&gt;"",B228&lt;&gt;2647973),IF(SUMIFS('RESUMEN DE PUNTOS DE VENTA'!C$7:C$145,'RESUMEN DE PUNTOS DE VENTA'!A$7:A$145,C225,'RESUMEN DE PUNTOS DE VENTA'!C$7:C$145,"2647973")=2647973,2647973,""), "")</f>
        <v>2647973</v>
      </c>
      <c r="C229" s="31" t="str">
        <f>IF(B229&lt;&gt;"",UPPER(VLOOKUP(B229,CATALOGO!$A$8:$E$36,3)),"")</f>
        <v>ALMOHADA BEBE SENCILLA ESTAMPADA</v>
      </c>
      <c r="D229" s="31">
        <f>IF(B229&lt;&gt;"",VLOOKUP(B229,CATALOGO!$A$8:$E$36,2),"")</f>
        <v>7441119600768</v>
      </c>
      <c r="E229" s="29">
        <f>IF(B229&lt;&gt;"",VLOOKUP(B229,CATALOGO!$A$8:$E$36,5),"")</f>
        <v>3</v>
      </c>
      <c r="F229" s="29">
        <f>IF(B229&lt;&gt;"",SUMIFS('RESUMEN DE PUNTOS DE VENTA'!G$7:G$145,'RESUMEN DE PUNTOS DE VENTA'!A$7:A$145,C225,'RESUMEN DE PUNTOS DE VENTA'!C$7:C$145,CROSSDOCKING!B229),"")</f>
        <v>1</v>
      </c>
      <c r="G229" s="107">
        <f>IF(B229&lt;&gt;"",SUMIFS('RESUMEN DE PUNTOS DE VENTA'!H$7:H$145,'RESUMEN DE PUNTOS DE VENTA'!A$7:A$145,C225,'RESUMEN DE PUNTOS DE VENTA'!C$7:C$145,CROSSDOCKING!B229),"")</f>
        <v>1</v>
      </c>
      <c r="H229" s="108" t="e">
        <f>IF(D229&lt;&gt;"",SUMIFS('RESUMEN DE PUNTOS DE VENTA'!#REF!,'RESUMEN DE PUNTOS DE VENTA'!#REF!,E226,'RESUMEN DE PUNTOS DE VENTA'!#REF!,CROSSDOCKING!D229),"")</f>
        <v>#REF!</v>
      </c>
      <c r="I229" s="29">
        <f t="shared" ref="I229:I230" si="19">IF(B229&lt;&gt;"",F229-G229,"")</f>
        <v>0</v>
      </c>
    </row>
    <row r="230" spans="1:9" s="28" customFormat="1" x14ac:dyDescent="0.2">
      <c r="A230" s="32">
        <v>3</v>
      </c>
      <c r="B230" s="30"/>
      <c r="C230" s="31" t="str">
        <f>IF(B230&lt;&gt;"",UPPER(VLOOKUP(B230,CATALOGO!$A$8:$E$36,3)),"")</f>
        <v/>
      </c>
      <c r="D230" s="31" t="str">
        <f>IF(B230&lt;&gt;"",VLOOKUP(B230,CATALOGO!$A$8:$E$36,2),"")</f>
        <v/>
      </c>
      <c r="E230" s="29" t="str">
        <f>IF(B230&lt;&gt;"",VLOOKUP(B230,CATALOGO!$A$8:$E$36,5),"")</f>
        <v/>
      </c>
      <c r="F230" s="29" t="str">
        <f>IF(B230&lt;&gt;"",SUMIFS('RESUMEN DE PUNTOS DE VENTA'!G$7:G$145,'RESUMEN DE PUNTOS DE VENTA'!A$7:A$145,C225,'RESUMEN DE PUNTOS DE VENTA'!C$7:C$145,CROSSDOCKING!B230),"")</f>
        <v/>
      </c>
      <c r="G230" s="107" t="str">
        <f>IF(B230&lt;&gt;"",SUMIFS('RESUMEN DE PUNTOS DE VENTA'!H$7:H$145,'RESUMEN DE PUNTOS DE VENTA'!A$7:A$145,C225,'RESUMEN DE PUNTOS DE VENTA'!C$7:C$145,CROSSDOCKING!B230),"")</f>
        <v/>
      </c>
      <c r="H230" s="108" t="str">
        <f>IF(D230&lt;&gt;"",SUMIFS('RESUMEN DE PUNTOS DE VENTA'!#REF!,'RESUMEN DE PUNTOS DE VENTA'!#REF!,E227,'RESUMEN DE PUNTOS DE VENTA'!#REF!,CROSSDOCKING!D230),"")</f>
        <v/>
      </c>
      <c r="I230" s="29" t="str">
        <f t="shared" si="19"/>
        <v/>
      </c>
    </row>
    <row r="231" spans="1:9" s="28" customFormat="1" ht="15" customHeight="1" x14ac:dyDescent="0.2">
      <c r="A231" s="109" t="s">
        <v>67</v>
      </c>
      <c r="B231" s="110"/>
      <c r="C231" s="110"/>
      <c r="D231" s="110"/>
      <c r="E231" s="111"/>
      <c r="F231" s="29">
        <f>SUM(F228:F230)</f>
        <v>2</v>
      </c>
      <c r="G231" s="107">
        <f>SUM(G228:G230)</f>
        <v>2</v>
      </c>
      <c r="H231" s="108"/>
      <c r="I231" s="29">
        <f>SUM(I228:I230)</f>
        <v>0</v>
      </c>
    </row>
    <row r="232" spans="1:9" s="28" customFormat="1" ht="15" customHeight="1" x14ac:dyDescent="0.2">
      <c r="A232" s="134" t="s">
        <v>150</v>
      </c>
      <c r="B232" s="135"/>
      <c r="C232" s="52">
        <f>COUNTIF($A$1:I231, "TOTAL")</f>
        <v>20</v>
      </c>
      <c r="D232" s="135" t="s">
        <v>146</v>
      </c>
      <c r="E232" s="135"/>
      <c r="F232" s="136">
        <f>CAJAS!$C$21</f>
        <v>33</v>
      </c>
      <c r="G232" s="136"/>
      <c r="H232" s="136"/>
      <c r="I232" s="137"/>
    </row>
    <row r="233" spans="1:9" s="28" customFormat="1" ht="10" customHeight="1" thickBot="1" x14ac:dyDescent="0.25">
      <c r="A233" s="138"/>
      <c r="B233" s="138"/>
      <c r="C233" s="138"/>
      <c r="D233" s="138"/>
      <c r="E233" s="138"/>
      <c r="F233" s="138"/>
      <c r="G233" s="138"/>
      <c r="H233" s="138"/>
      <c r="I233" s="138"/>
    </row>
    <row r="234" spans="1:9" s="28" customFormat="1" ht="10" customHeight="1" thickTop="1" x14ac:dyDescent="0.2">
      <c r="A234" s="115"/>
      <c r="B234" s="115"/>
      <c r="C234" s="115"/>
      <c r="D234" s="115"/>
      <c r="E234" s="115"/>
      <c r="F234" s="115"/>
      <c r="G234" s="115"/>
      <c r="H234" s="115"/>
      <c r="I234" s="115"/>
    </row>
    <row r="235" spans="1:9" s="28" customFormat="1" ht="16" x14ac:dyDescent="0.2">
      <c r="A235" s="116" t="s">
        <v>59</v>
      </c>
      <c r="B235" s="117"/>
      <c r="C235" s="117"/>
      <c r="D235" s="117"/>
      <c r="E235" s="117"/>
      <c r="F235" s="117"/>
      <c r="G235" s="117"/>
      <c r="H235" s="117"/>
      <c r="I235" s="118"/>
    </row>
    <row r="236" spans="1:9" s="28" customFormat="1" ht="16" x14ac:dyDescent="0.2">
      <c r="A236" s="119" t="s">
        <v>60</v>
      </c>
      <c r="B236" s="120"/>
      <c r="C236" s="120"/>
      <c r="D236" s="120"/>
      <c r="E236" s="120"/>
      <c r="F236" s="120"/>
      <c r="G236" s="120"/>
      <c r="H236" s="120"/>
      <c r="I236" s="121"/>
    </row>
    <row r="237" spans="1:9" s="28" customFormat="1" ht="18.75" customHeight="1" x14ac:dyDescent="0.2">
      <c r="A237" s="122" t="s">
        <v>61</v>
      </c>
      <c r="B237" s="123"/>
      <c r="C237" s="69">
        <v>4413</v>
      </c>
      <c r="D237" s="53" t="s">
        <v>244</v>
      </c>
      <c r="E237" s="124" t="str">
        <f>VLOOKUP(C237,'PUNTOS DE VENTA'!$A$1:$C$75,3)</f>
        <v>XA339</v>
      </c>
      <c r="F237" s="125"/>
      <c r="G237" s="70" t="s">
        <v>62</v>
      </c>
      <c r="H237" s="126">
        <f>'RESUMEN DE PUNTOS DE VENTA'!$C$4</f>
        <v>2900678609</v>
      </c>
      <c r="I237" s="127"/>
    </row>
    <row r="238" spans="1:9" s="28" customFormat="1" ht="18.75" customHeight="1" x14ac:dyDescent="0.2">
      <c r="A238" s="122" t="s">
        <v>63</v>
      </c>
      <c r="B238" s="123"/>
      <c r="C238" s="128" t="str">
        <f>UPPER(VLOOKUP(C237,'PUNTOS DE VENTA'!$A$1:$B$75,2))</f>
        <v>WALMART DESAMPARADOS</v>
      </c>
      <c r="D238" s="128"/>
      <c r="E238" s="128"/>
      <c r="F238" s="128"/>
      <c r="G238" s="128"/>
      <c r="H238" s="128"/>
      <c r="I238" s="129"/>
    </row>
    <row r="239" spans="1:9" s="28" customFormat="1" ht="22.5" customHeight="1" x14ac:dyDescent="0.2">
      <c r="A239" s="130" t="s">
        <v>7</v>
      </c>
      <c r="B239" s="131"/>
      <c r="C239" s="71" t="s">
        <v>28</v>
      </c>
      <c r="D239" s="72" t="s">
        <v>11</v>
      </c>
      <c r="E239" s="72" t="s">
        <v>8</v>
      </c>
      <c r="F239" s="73" t="s">
        <v>64</v>
      </c>
      <c r="G239" s="132" t="s">
        <v>65</v>
      </c>
      <c r="H239" s="133"/>
      <c r="I239" s="74" t="s">
        <v>66</v>
      </c>
    </row>
    <row r="240" spans="1:9" s="28" customFormat="1" x14ac:dyDescent="0.2">
      <c r="A240" s="32">
        <v>1</v>
      </c>
      <c r="B240" s="30">
        <f>IF(SUMIFS('RESUMEN DE PUNTOS DE VENTA'!C$7:C$145,'RESUMEN DE PUNTOS DE VENTA'!A$7:A$145,C237,'RESUMEN DE PUNTOS DE VENTA'!C$7:C$145,"2645516") = 2645516, 2645516, IF(SUMIFS('RESUMEN DE PUNTOS DE VENTA'!C$7:C$145,'RESUMEN DE PUNTOS DE VENTA'!A$7:A$145,C237,'RESUMEN DE PUNTOS DE VENTA'!C$7:C$145,"2647973") = 2647973, 2647973, ""))</f>
        <v>2647973</v>
      </c>
      <c r="C240" s="31" t="str">
        <f>IF(B240&lt;&gt;"",UPPER(VLOOKUP(B240,CATALOGO!$A$8:$E$36,3)),"")</f>
        <v>ALMOHADA BEBE SENCILLA ESTAMPADA</v>
      </c>
      <c r="D240" s="31">
        <f>IF(B240&lt;&gt;"",VLOOKUP(B240,CATALOGO!$A$8:$E$36,2),"")</f>
        <v>7441119600768</v>
      </c>
      <c r="E240" s="29">
        <f>IF(B240&lt;&gt;"",VLOOKUP(B240,CATALOGO!$A$8:$E$36,5),"")</f>
        <v>3</v>
      </c>
      <c r="F240" s="29">
        <f>IF(B240&lt;&gt;"",SUMIFS('RESUMEN DE PUNTOS DE VENTA'!G$7:G$145,'RESUMEN DE PUNTOS DE VENTA'!A$7:A$145,C237,'RESUMEN DE PUNTOS DE VENTA'!C$7:C$145,CROSSDOCKING!B240),"")</f>
        <v>1</v>
      </c>
      <c r="G240" s="107">
        <f>IF(B240&lt;&gt;"",SUMIFS('RESUMEN DE PUNTOS DE VENTA'!H$7:H$145,'RESUMEN DE PUNTOS DE VENTA'!A$7:A$145,C237,'RESUMEN DE PUNTOS DE VENTA'!C$7:C$145,CROSSDOCKING!B240),"")</f>
        <v>1</v>
      </c>
      <c r="H240" s="108" t="e">
        <f>IF(D240&lt;&gt;"",SUMIFS('RESUMEN DE PUNTOS DE VENTA'!#REF!,'RESUMEN DE PUNTOS DE VENTA'!#REF!,E237,'RESUMEN DE PUNTOS DE VENTA'!#REF!,CROSSDOCKING!D240),"")</f>
        <v>#REF!</v>
      </c>
      <c r="I240" s="29">
        <f>IF(B240&lt;&gt;"",F240-G240,"")</f>
        <v>0</v>
      </c>
    </row>
    <row r="241" spans="1:9" s="28" customFormat="1" x14ac:dyDescent="0.2">
      <c r="A241" s="32">
        <v>2</v>
      </c>
      <c r="B241" s="30" t="str">
        <f>IF(AND(B240&lt;&gt;"",B240&lt;&gt;2647973),IF(SUMIFS('RESUMEN DE PUNTOS DE VENTA'!C$7:C$145,'RESUMEN DE PUNTOS DE VENTA'!A$7:A$145,C237,'RESUMEN DE PUNTOS DE VENTA'!C$7:C$145,"2647973")=2647973,2647973,""), "")</f>
        <v/>
      </c>
      <c r="C241" s="31" t="str">
        <f>IF(B241&lt;&gt;"",UPPER(VLOOKUP(B241,CATALOGO!$A$8:$E$36,3)),"")</f>
        <v/>
      </c>
      <c r="D241" s="31" t="str">
        <f>IF(B241&lt;&gt;"",VLOOKUP(B241,CATALOGO!$A$8:$E$36,2),"")</f>
        <v/>
      </c>
      <c r="E241" s="29" t="str">
        <f>IF(B241&lt;&gt;"",VLOOKUP(B241,CATALOGO!$A$8:$E$36,5),"")</f>
        <v/>
      </c>
      <c r="F241" s="29" t="str">
        <f>IF(B241&lt;&gt;"",SUMIFS('RESUMEN DE PUNTOS DE VENTA'!G$7:G$145,'RESUMEN DE PUNTOS DE VENTA'!A$7:A$145,C237,'RESUMEN DE PUNTOS DE VENTA'!C$7:C$145,CROSSDOCKING!B241),"")</f>
        <v/>
      </c>
      <c r="G241" s="107" t="str">
        <f>IF(B241&lt;&gt;"",SUMIFS('RESUMEN DE PUNTOS DE VENTA'!H$7:H$145,'RESUMEN DE PUNTOS DE VENTA'!A$7:A$145,C237,'RESUMEN DE PUNTOS DE VENTA'!C$7:C$145,CROSSDOCKING!B241),"")</f>
        <v/>
      </c>
      <c r="H241" s="108" t="str">
        <f>IF(D241&lt;&gt;"",SUMIFS('RESUMEN DE PUNTOS DE VENTA'!#REF!,'RESUMEN DE PUNTOS DE VENTA'!#REF!,E238,'RESUMEN DE PUNTOS DE VENTA'!#REF!,CROSSDOCKING!D241),"")</f>
        <v/>
      </c>
      <c r="I241" s="29" t="str">
        <f t="shared" ref="I241:I242" si="20">IF(B241&lt;&gt;"",F241-G241,"")</f>
        <v/>
      </c>
    </row>
    <row r="242" spans="1:9" s="28" customFormat="1" x14ac:dyDescent="0.2">
      <c r="A242" s="32">
        <v>3</v>
      </c>
      <c r="B242" s="30"/>
      <c r="C242" s="31" t="str">
        <f>IF(B242&lt;&gt;"",UPPER(VLOOKUP(B242,CATALOGO!$A$8:$E$36,3)),"")</f>
        <v/>
      </c>
      <c r="D242" s="31" t="str">
        <f>IF(B242&lt;&gt;"",VLOOKUP(B242,CATALOGO!$A$8:$E$36,2),"")</f>
        <v/>
      </c>
      <c r="E242" s="29" t="str">
        <f>IF(B242&lt;&gt;"",VLOOKUP(B242,CATALOGO!$A$8:$E$36,5),"")</f>
        <v/>
      </c>
      <c r="F242" s="29" t="str">
        <f>IF(B242&lt;&gt;"",SUMIFS('RESUMEN DE PUNTOS DE VENTA'!G$7:G$145,'RESUMEN DE PUNTOS DE VENTA'!A$7:A$145,C237,'RESUMEN DE PUNTOS DE VENTA'!C$7:C$145,CROSSDOCKING!B242),"")</f>
        <v/>
      </c>
      <c r="G242" s="107" t="str">
        <f>IF(B242&lt;&gt;"",SUMIFS('RESUMEN DE PUNTOS DE VENTA'!H$7:H$145,'RESUMEN DE PUNTOS DE VENTA'!A$7:A$145,C237,'RESUMEN DE PUNTOS DE VENTA'!C$7:C$145,CROSSDOCKING!B242),"")</f>
        <v/>
      </c>
      <c r="H242" s="108" t="str">
        <f>IF(D242&lt;&gt;"",SUMIFS('RESUMEN DE PUNTOS DE VENTA'!#REF!,'RESUMEN DE PUNTOS DE VENTA'!#REF!,E239,'RESUMEN DE PUNTOS DE VENTA'!#REF!,CROSSDOCKING!D242),"")</f>
        <v/>
      </c>
      <c r="I242" s="29" t="str">
        <f t="shared" si="20"/>
        <v/>
      </c>
    </row>
    <row r="243" spans="1:9" s="28" customFormat="1" x14ac:dyDescent="0.2">
      <c r="A243" s="109" t="s">
        <v>67</v>
      </c>
      <c r="B243" s="110"/>
      <c r="C243" s="110"/>
      <c r="D243" s="110"/>
      <c r="E243" s="111"/>
      <c r="F243" s="29">
        <f>SUM(F240:F242)</f>
        <v>1</v>
      </c>
      <c r="G243" s="107">
        <f>SUM(G240:G242)</f>
        <v>1</v>
      </c>
      <c r="H243" s="108"/>
      <c r="I243" s="29">
        <f>SUM(I240:I242)</f>
        <v>0</v>
      </c>
    </row>
    <row r="244" spans="1:9" s="28" customFormat="1" ht="15" customHeight="1" x14ac:dyDescent="0.2">
      <c r="A244" s="134" t="s">
        <v>150</v>
      </c>
      <c r="B244" s="135"/>
      <c r="C244" s="52">
        <f>COUNTIF($A$1:I243, "TOTAL")</f>
        <v>21</v>
      </c>
      <c r="D244" s="135" t="s">
        <v>146</v>
      </c>
      <c r="E244" s="135"/>
      <c r="F244" s="136">
        <f>CAJAS!$C$21</f>
        <v>33</v>
      </c>
      <c r="G244" s="136"/>
      <c r="H244" s="136"/>
      <c r="I244" s="137"/>
    </row>
    <row r="245" spans="1:9" s="28" customFormat="1" ht="10" customHeight="1" thickBot="1" x14ac:dyDescent="0.25">
      <c r="A245" s="138"/>
      <c r="B245" s="138"/>
      <c r="C245" s="138"/>
      <c r="D245" s="138"/>
      <c r="E245" s="138"/>
      <c r="F245" s="138"/>
      <c r="G245" s="138"/>
      <c r="H245" s="138"/>
      <c r="I245" s="138"/>
    </row>
    <row r="246" spans="1:9" s="28" customFormat="1" ht="10" customHeight="1" thickTop="1" x14ac:dyDescent="0.2">
      <c r="A246" s="115"/>
      <c r="B246" s="115"/>
      <c r="C246" s="115"/>
      <c r="D246" s="115"/>
      <c r="E246" s="115"/>
      <c r="F246" s="115"/>
      <c r="G246" s="115"/>
      <c r="H246" s="115"/>
      <c r="I246" s="115"/>
    </row>
    <row r="247" spans="1:9" s="28" customFormat="1" ht="16" x14ac:dyDescent="0.2">
      <c r="A247" s="116" t="s">
        <v>59</v>
      </c>
      <c r="B247" s="117"/>
      <c r="C247" s="117"/>
      <c r="D247" s="117"/>
      <c r="E247" s="117"/>
      <c r="F247" s="117"/>
      <c r="G247" s="117"/>
      <c r="H247" s="117"/>
      <c r="I247" s="118"/>
    </row>
    <row r="248" spans="1:9" s="28" customFormat="1" ht="16" x14ac:dyDescent="0.2">
      <c r="A248" s="119" t="s">
        <v>60</v>
      </c>
      <c r="B248" s="120"/>
      <c r="C248" s="120"/>
      <c r="D248" s="120"/>
      <c r="E248" s="120"/>
      <c r="F248" s="120"/>
      <c r="G248" s="120"/>
      <c r="H248" s="120"/>
      <c r="I248" s="121"/>
    </row>
    <row r="249" spans="1:9" s="28" customFormat="1" ht="18.75" customHeight="1" x14ac:dyDescent="0.2">
      <c r="A249" s="122" t="s">
        <v>61</v>
      </c>
      <c r="B249" s="123"/>
      <c r="C249" s="69">
        <v>4417</v>
      </c>
      <c r="D249" s="53" t="s">
        <v>244</v>
      </c>
      <c r="E249" s="124" t="str">
        <f>VLOOKUP(C249,'PUNTOS DE VENTA'!$A$1:$C$75,3)</f>
        <v>XA244</v>
      </c>
      <c r="F249" s="125"/>
      <c r="G249" s="70" t="s">
        <v>62</v>
      </c>
      <c r="H249" s="126">
        <f>'RESUMEN DE PUNTOS DE VENTA'!$C$4</f>
        <v>2900678609</v>
      </c>
      <c r="I249" s="127"/>
    </row>
    <row r="250" spans="1:9" s="28" customFormat="1" ht="18.75" customHeight="1" x14ac:dyDescent="0.2">
      <c r="A250" s="122" t="s">
        <v>63</v>
      </c>
      <c r="B250" s="123"/>
      <c r="C250" s="128" t="str">
        <f>UPPER(VLOOKUP(C249,'PUNTOS DE VENTA'!$A$1:$B$75,2))</f>
        <v xml:space="preserve">MAXI AGUAS ZARCAS </v>
      </c>
      <c r="D250" s="128"/>
      <c r="E250" s="128"/>
      <c r="F250" s="128"/>
      <c r="G250" s="128"/>
      <c r="H250" s="128"/>
      <c r="I250" s="129"/>
    </row>
    <row r="251" spans="1:9" s="28" customFormat="1" ht="22.5" customHeight="1" x14ac:dyDescent="0.2">
      <c r="A251" s="130" t="s">
        <v>7</v>
      </c>
      <c r="B251" s="131"/>
      <c r="C251" s="71" t="s">
        <v>28</v>
      </c>
      <c r="D251" s="72" t="s">
        <v>11</v>
      </c>
      <c r="E251" s="72" t="s">
        <v>8</v>
      </c>
      <c r="F251" s="73" t="s">
        <v>64</v>
      </c>
      <c r="G251" s="132" t="s">
        <v>65</v>
      </c>
      <c r="H251" s="133"/>
      <c r="I251" s="74" t="s">
        <v>66</v>
      </c>
    </row>
    <row r="252" spans="1:9" s="28" customFormat="1" x14ac:dyDescent="0.2">
      <c r="A252" s="32">
        <v>1</v>
      </c>
      <c r="B252" s="30">
        <f>IF(SUMIFS('RESUMEN DE PUNTOS DE VENTA'!C$7:C$145,'RESUMEN DE PUNTOS DE VENTA'!A$7:A$145,C249,'RESUMEN DE PUNTOS DE VENTA'!C$7:C$145,"2645516") = 2645516, 2645516, IF(SUMIFS('RESUMEN DE PUNTOS DE VENTA'!C$7:C$145,'RESUMEN DE PUNTOS DE VENTA'!A$7:A$145,C249,'RESUMEN DE PUNTOS DE VENTA'!C$7:C$145,"2647973") = 2647973, 2647973, ""))</f>
        <v>2645516</v>
      </c>
      <c r="C252" s="31" t="str">
        <f>IF(B252&lt;&gt;"",UPPER(VLOOKUP(B252,CATALOGO!$A$8:$E$36,3)),"")</f>
        <v>ALMOHADA Y FUNDA BEBE COLORES SURTIDOS DOCOMA</v>
      </c>
      <c r="D252" s="31">
        <f>IF(B252&lt;&gt;"",VLOOKUP(B252,CATALOGO!$A$8:$E$36,2),"")</f>
        <v>7441119600652</v>
      </c>
      <c r="E252" s="29">
        <f>IF(B252&lt;&gt;"",VLOOKUP(B252,CATALOGO!$A$8:$E$36,5),"")</f>
        <v>3</v>
      </c>
      <c r="F252" s="29">
        <f>IF(B252&lt;&gt;"",SUMIFS('RESUMEN DE PUNTOS DE VENTA'!G$7:G$145,'RESUMEN DE PUNTOS DE VENTA'!A$7:A$145,C249,'RESUMEN DE PUNTOS DE VENTA'!C$7:C$145,CROSSDOCKING!B252),"")</f>
        <v>1</v>
      </c>
      <c r="G252" s="107">
        <f>IF(B252&lt;&gt;"",SUMIFS('RESUMEN DE PUNTOS DE VENTA'!H$7:H$145,'RESUMEN DE PUNTOS DE VENTA'!A$7:A$145,C249,'RESUMEN DE PUNTOS DE VENTA'!C$7:C$145,CROSSDOCKING!B252),"")</f>
        <v>1</v>
      </c>
      <c r="H252" s="108" t="e">
        <f>IF(D252&lt;&gt;"",SUMIFS('RESUMEN DE PUNTOS DE VENTA'!#REF!,'RESUMEN DE PUNTOS DE VENTA'!#REF!,E249,'RESUMEN DE PUNTOS DE VENTA'!#REF!,CROSSDOCKING!D252),"")</f>
        <v>#REF!</v>
      </c>
      <c r="I252" s="29">
        <f>IF(B252&lt;&gt;"",F252-G252,"")</f>
        <v>0</v>
      </c>
    </row>
    <row r="253" spans="1:9" s="28" customFormat="1" x14ac:dyDescent="0.2">
      <c r="A253" s="32">
        <v>2</v>
      </c>
      <c r="B253" s="30">
        <f>IF(AND(B252&lt;&gt;"",B252&lt;&gt;2647973),IF(SUMIFS('RESUMEN DE PUNTOS DE VENTA'!C$7:C$145,'RESUMEN DE PUNTOS DE VENTA'!A$7:A$145,C249,'RESUMEN DE PUNTOS DE VENTA'!C$7:C$145,"2647973")=2647973,2647973,""), "")</f>
        <v>2647973</v>
      </c>
      <c r="C253" s="31" t="str">
        <f>IF(B253&lt;&gt;"",UPPER(VLOOKUP(B253,CATALOGO!$A$8:$E$36,3)),"")</f>
        <v>ALMOHADA BEBE SENCILLA ESTAMPADA</v>
      </c>
      <c r="D253" s="31">
        <f>IF(B253&lt;&gt;"",VLOOKUP(B253,CATALOGO!$A$8:$E$36,2),"")</f>
        <v>7441119600768</v>
      </c>
      <c r="E253" s="29">
        <f>IF(B253&lt;&gt;"",VLOOKUP(B253,CATALOGO!$A$8:$E$36,5),"")</f>
        <v>3</v>
      </c>
      <c r="F253" s="29">
        <f>IF(B253&lt;&gt;"",SUMIFS('RESUMEN DE PUNTOS DE VENTA'!G$7:G$145,'RESUMEN DE PUNTOS DE VENTA'!A$7:A$145,C249,'RESUMEN DE PUNTOS DE VENTA'!C$7:C$145,CROSSDOCKING!B253),"")</f>
        <v>1</v>
      </c>
      <c r="G253" s="107">
        <f>IF(B253&lt;&gt;"",SUMIFS('RESUMEN DE PUNTOS DE VENTA'!H$7:H$145,'RESUMEN DE PUNTOS DE VENTA'!A$7:A$145,C249,'RESUMEN DE PUNTOS DE VENTA'!C$7:C$145,CROSSDOCKING!B253),"")</f>
        <v>1</v>
      </c>
      <c r="H253" s="108" t="e">
        <f>IF(D253&lt;&gt;"",SUMIFS('RESUMEN DE PUNTOS DE VENTA'!#REF!,'RESUMEN DE PUNTOS DE VENTA'!#REF!,E250,'RESUMEN DE PUNTOS DE VENTA'!#REF!,CROSSDOCKING!D253),"")</f>
        <v>#REF!</v>
      </c>
      <c r="I253" s="29">
        <f t="shared" ref="I253:I254" si="21">IF(B253&lt;&gt;"",F253-G253,"")</f>
        <v>0</v>
      </c>
    </row>
    <row r="254" spans="1:9" s="28" customFormat="1" x14ac:dyDescent="0.2">
      <c r="A254" s="32">
        <v>3</v>
      </c>
      <c r="B254" s="30"/>
      <c r="C254" s="31" t="str">
        <f>IF(B254&lt;&gt;"",UPPER(VLOOKUP(B254,CATALOGO!$A$8:$E$36,3)),"")</f>
        <v/>
      </c>
      <c r="D254" s="31" t="str">
        <f>IF(B254&lt;&gt;"",VLOOKUP(B254,CATALOGO!$A$8:$E$36,2),"")</f>
        <v/>
      </c>
      <c r="E254" s="29" t="str">
        <f>IF(B254&lt;&gt;"",VLOOKUP(B254,CATALOGO!$A$8:$E$36,5),"")</f>
        <v/>
      </c>
      <c r="F254" s="29" t="str">
        <f>IF(B254&lt;&gt;"",SUMIFS('RESUMEN DE PUNTOS DE VENTA'!G$7:G$145,'RESUMEN DE PUNTOS DE VENTA'!A$7:A$145,C249,'RESUMEN DE PUNTOS DE VENTA'!C$7:C$145,CROSSDOCKING!B254),"")</f>
        <v/>
      </c>
      <c r="G254" s="107" t="str">
        <f>IF(B254&lt;&gt;"",SUMIFS('RESUMEN DE PUNTOS DE VENTA'!H$7:H$145,'RESUMEN DE PUNTOS DE VENTA'!A$7:A$145,C249,'RESUMEN DE PUNTOS DE VENTA'!C$7:C$145,CROSSDOCKING!B254),"")</f>
        <v/>
      </c>
      <c r="H254" s="108" t="str">
        <f>IF(D254&lt;&gt;"",SUMIFS('RESUMEN DE PUNTOS DE VENTA'!#REF!,'RESUMEN DE PUNTOS DE VENTA'!#REF!,E251,'RESUMEN DE PUNTOS DE VENTA'!#REF!,CROSSDOCKING!D254),"")</f>
        <v/>
      </c>
      <c r="I254" s="29" t="str">
        <f t="shared" si="21"/>
        <v/>
      </c>
    </row>
    <row r="255" spans="1:9" s="28" customFormat="1" ht="15" customHeight="1" x14ac:dyDescent="0.2">
      <c r="A255" s="109" t="s">
        <v>67</v>
      </c>
      <c r="B255" s="110"/>
      <c r="C255" s="110"/>
      <c r="D255" s="110"/>
      <c r="E255" s="111"/>
      <c r="F255" s="29">
        <f>SUM(F252:F254)</f>
        <v>2</v>
      </c>
      <c r="G255" s="107">
        <f>SUM(G252:G254)</f>
        <v>2</v>
      </c>
      <c r="H255" s="108"/>
      <c r="I255" s="29">
        <f>SUM(I252:I254)</f>
        <v>0</v>
      </c>
    </row>
    <row r="256" spans="1:9" s="28" customFormat="1" ht="15" customHeight="1" x14ac:dyDescent="0.2">
      <c r="A256" s="134" t="s">
        <v>150</v>
      </c>
      <c r="B256" s="135"/>
      <c r="C256" s="52">
        <f>COUNTIF($A$1:I255, "TOTAL")</f>
        <v>22</v>
      </c>
      <c r="D256" s="135" t="s">
        <v>146</v>
      </c>
      <c r="E256" s="135"/>
      <c r="F256" s="136">
        <f>CAJAS!$C$21</f>
        <v>33</v>
      </c>
      <c r="G256" s="136"/>
      <c r="H256" s="136"/>
      <c r="I256" s="137"/>
    </row>
    <row r="257" spans="1:9" s="28" customFormat="1" ht="10" customHeight="1" thickBot="1" x14ac:dyDescent="0.25">
      <c r="A257" s="138"/>
      <c r="B257" s="138"/>
      <c r="C257" s="138"/>
      <c r="D257" s="138"/>
      <c r="E257" s="138"/>
      <c r="F257" s="138"/>
      <c r="G257" s="138"/>
      <c r="H257" s="138"/>
      <c r="I257" s="138"/>
    </row>
    <row r="258" spans="1:9" s="28" customFormat="1" ht="10" customHeight="1" thickTop="1" x14ac:dyDescent="0.2">
      <c r="A258" s="115"/>
      <c r="B258" s="115"/>
      <c r="C258" s="115"/>
      <c r="D258" s="115"/>
      <c r="E258" s="115"/>
      <c r="F258" s="115"/>
      <c r="G258" s="115"/>
      <c r="H258" s="115"/>
      <c r="I258" s="115"/>
    </row>
    <row r="259" spans="1:9" s="28" customFormat="1" ht="16" x14ac:dyDescent="0.2">
      <c r="A259" s="116" t="s">
        <v>59</v>
      </c>
      <c r="B259" s="117"/>
      <c r="C259" s="117"/>
      <c r="D259" s="117"/>
      <c r="E259" s="117"/>
      <c r="F259" s="117"/>
      <c r="G259" s="117"/>
      <c r="H259" s="117"/>
      <c r="I259" s="118"/>
    </row>
    <row r="260" spans="1:9" s="28" customFormat="1" ht="16" x14ac:dyDescent="0.2">
      <c r="A260" s="119" t="s">
        <v>60</v>
      </c>
      <c r="B260" s="120"/>
      <c r="C260" s="120"/>
      <c r="D260" s="120"/>
      <c r="E260" s="120"/>
      <c r="F260" s="120"/>
      <c r="G260" s="120"/>
      <c r="H260" s="120"/>
      <c r="I260" s="121"/>
    </row>
    <row r="261" spans="1:9" s="28" customFormat="1" ht="18.75" customHeight="1" x14ac:dyDescent="0.2">
      <c r="A261" s="122" t="s">
        <v>61</v>
      </c>
      <c r="B261" s="123"/>
      <c r="C261" s="69">
        <v>4449</v>
      </c>
      <c r="D261" s="53" t="s">
        <v>244</v>
      </c>
      <c r="E261" s="124" t="str">
        <f>VLOOKUP(C261,'PUNTOS DE VENTA'!$A$1:$C$75,3)</f>
        <v>XA056</v>
      </c>
      <c r="F261" s="125"/>
      <c r="G261" s="70" t="s">
        <v>62</v>
      </c>
      <c r="H261" s="126">
        <f>'RESUMEN DE PUNTOS DE VENTA'!$C$4</f>
        <v>2900678609</v>
      </c>
      <c r="I261" s="127"/>
    </row>
    <row r="262" spans="1:9" s="28" customFormat="1" ht="18.75" customHeight="1" x14ac:dyDescent="0.2">
      <c r="A262" s="122" t="s">
        <v>63</v>
      </c>
      <c r="B262" s="123"/>
      <c r="C262" s="128" t="str">
        <f>UPPER(VLOOKUP(C261,'PUNTOS DE VENTA'!$A$1:$B$75,2))</f>
        <v>WALMART LA LIMA</v>
      </c>
      <c r="D262" s="128"/>
      <c r="E262" s="128"/>
      <c r="F262" s="128"/>
      <c r="G262" s="128"/>
      <c r="H262" s="128"/>
      <c r="I262" s="129"/>
    </row>
    <row r="263" spans="1:9" s="28" customFormat="1" ht="22.5" customHeight="1" x14ac:dyDescent="0.2">
      <c r="A263" s="130" t="s">
        <v>7</v>
      </c>
      <c r="B263" s="131"/>
      <c r="C263" s="71" t="s">
        <v>28</v>
      </c>
      <c r="D263" s="72" t="s">
        <v>11</v>
      </c>
      <c r="E263" s="72" t="s">
        <v>8</v>
      </c>
      <c r="F263" s="73" t="s">
        <v>64</v>
      </c>
      <c r="G263" s="132" t="s">
        <v>65</v>
      </c>
      <c r="H263" s="133"/>
      <c r="I263" s="74" t="s">
        <v>66</v>
      </c>
    </row>
    <row r="264" spans="1:9" s="28" customFormat="1" x14ac:dyDescent="0.2">
      <c r="A264" s="32">
        <v>1</v>
      </c>
      <c r="B264" s="30">
        <f>IF(SUMIFS('RESUMEN DE PUNTOS DE VENTA'!C$7:C$145,'RESUMEN DE PUNTOS DE VENTA'!A$7:A$145,C261,'RESUMEN DE PUNTOS DE VENTA'!C$7:C$145,"2645516") = 2645516, 2645516, IF(SUMIFS('RESUMEN DE PUNTOS DE VENTA'!C$7:C$145,'RESUMEN DE PUNTOS DE VENTA'!A$7:A$145,C261,'RESUMEN DE PUNTOS DE VENTA'!C$7:C$145,"2647973") = 2647973, 2647973, ""))</f>
        <v>2647973</v>
      </c>
      <c r="C264" s="31" t="str">
        <f>IF(B264&lt;&gt;"",UPPER(VLOOKUP(B264,CATALOGO!$A$8:$E$36,3)),"")</f>
        <v>ALMOHADA BEBE SENCILLA ESTAMPADA</v>
      </c>
      <c r="D264" s="31">
        <f>IF(B264&lt;&gt;"",VLOOKUP(B264,CATALOGO!$A$8:$E$36,2),"")</f>
        <v>7441119600768</v>
      </c>
      <c r="E264" s="29">
        <f>IF(B264&lt;&gt;"",VLOOKUP(B264,CATALOGO!$A$8:$E$36,5),"")</f>
        <v>3</v>
      </c>
      <c r="F264" s="29">
        <f>IF(B264&lt;&gt;"",SUMIFS('RESUMEN DE PUNTOS DE VENTA'!G$7:G$145,'RESUMEN DE PUNTOS DE VENTA'!A$7:A$145,C261,'RESUMEN DE PUNTOS DE VENTA'!C$7:C$145,CROSSDOCKING!B264),"")</f>
        <v>1</v>
      </c>
      <c r="G264" s="107">
        <f>IF(B264&lt;&gt;"",SUMIFS('RESUMEN DE PUNTOS DE VENTA'!H$7:H$145,'RESUMEN DE PUNTOS DE VENTA'!A$7:A$145,C261,'RESUMEN DE PUNTOS DE VENTA'!C$7:C$145,CROSSDOCKING!B264),"")</f>
        <v>1</v>
      </c>
      <c r="H264" s="108" t="e">
        <f>IF(D264&lt;&gt;"",SUMIFS('RESUMEN DE PUNTOS DE VENTA'!#REF!,'RESUMEN DE PUNTOS DE VENTA'!#REF!,E261,'RESUMEN DE PUNTOS DE VENTA'!#REF!,CROSSDOCKING!D264),"")</f>
        <v>#REF!</v>
      </c>
      <c r="I264" s="29">
        <f>IF(B264&lt;&gt;"",F264-G264,"")</f>
        <v>0</v>
      </c>
    </row>
    <row r="265" spans="1:9" s="28" customFormat="1" x14ac:dyDescent="0.2">
      <c r="A265" s="32">
        <v>2</v>
      </c>
      <c r="B265" s="30" t="str">
        <f>IF(AND(B264&lt;&gt;"",B264&lt;&gt;2647973),IF(SUMIFS('RESUMEN DE PUNTOS DE VENTA'!C$7:C$145,'RESUMEN DE PUNTOS DE VENTA'!A$7:A$145,C261,'RESUMEN DE PUNTOS DE VENTA'!C$7:C$145,"2647973")=2647973,2647973,""), "")</f>
        <v/>
      </c>
      <c r="C265" s="31" t="str">
        <f>IF(B265&lt;&gt;"",UPPER(VLOOKUP(B265,CATALOGO!$A$8:$E$36,3)),"")</f>
        <v/>
      </c>
      <c r="D265" s="31" t="str">
        <f>IF(B265&lt;&gt;"",VLOOKUP(B265,CATALOGO!$A$8:$E$36,2),"")</f>
        <v/>
      </c>
      <c r="E265" s="29" t="str">
        <f>IF(B265&lt;&gt;"",VLOOKUP(B265,CATALOGO!$A$8:$E$36,5),"")</f>
        <v/>
      </c>
      <c r="F265" s="29" t="str">
        <f>IF(B265&lt;&gt;"",SUMIFS('RESUMEN DE PUNTOS DE VENTA'!G$7:G$145,'RESUMEN DE PUNTOS DE VENTA'!A$7:A$145,C261,'RESUMEN DE PUNTOS DE VENTA'!C$7:C$145,CROSSDOCKING!B265),"")</f>
        <v/>
      </c>
      <c r="G265" s="107" t="str">
        <f>IF(B265&lt;&gt;"",SUMIFS('RESUMEN DE PUNTOS DE VENTA'!H$7:H$145,'RESUMEN DE PUNTOS DE VENTA'!A$7:A$145,C261,'RESUMEN DE PUNTOS DE VENTA'!C$7:C$145,CROSSDOCKING!B265),"")</f>
        <v/>
      </c>
      <c r="H265" s="108" t="str">
        <f>IF(D265&lt;&gt;"",SUMIFS('RESUMEN DE PUNTOS DE VENTA'!#REF!,'RESUMEN DE PUNTOS DE VENTA'!#REF!,E262,'RESUMEN DE PUNTOS DE VENTA'!#REF!,CROSSDOCKING!D265),"")</f>
        <v/>
      </c>
      <c r="I265" s="29" t="str">
        <f t="shared" ref="I265:I266" si="22">IF(B265&lt;&gt;"",F265-G265,"")</f>
        <v/>
      </c>
    </row>
    <row r="266" spans="1:9" s="28" customFormat="1" x14ac:dyDescent="0.2">
      <c r="A266" s="32">
        <v>3</v>
      </c>
      <c r="B266" s="30"/>
      <c r="C266" s="31" t="str">
        <f>IF(B266&lt;&gt;"",UPPER(VLOOKUP(B266,CATALOGO!$A$8:$E$36,3)),"")</f>
        <v/>
      </c>
      <c r="D266" s="31" t="str">
        <f>IF(B266&lt;&gt;"",VLOOKUP(B266,CATALOGO!$A$8:$E$36,2),"")</f>
        <v/>
      </c>
      <c r="E266" s="29" t="str">
        <f>IF(B266&lt;&gt;"",VLOOKUP(B266,CATALOGO!$A$8:$E$36,5),"")</f>
        <v/>
      </c>
      <c r="F266" s="29" t="str">
        <f>IF(B266&lt;&gt;"",SUMIFS('RESUMEN DE PUNTOS DE VENTA'!G$7:G$145,'RESUMEN DE PUNTOS DE VENTA'!A$7:A$145,C261,'RESUMEN DE PUNTOS DE VENTA'!C$7:C$145,CROSSDOCKING!B266),"")</f>
        <v/>
      </c>
      <c r="G266" s="107" t="str">
        <f>IF(B266&lt;&gt;"",SUMIFS('RESUMEN DE PUNTOS DE VENTA'!H$7:H$145,'RESUMEN DE PUNTOS DE VENTA'!A$7:A$145,C261,'RESUMEN DE PUNTOS DE VENTA'!C$7:C$145,CROSSDOCKING!B266),"")</f>
        <v/>
      </c>
      <c r="H266" s="108" t="str">
        <f>IF(D266&lt;&gt;"",SUMIFS('RESUMEN DE PUNTOS DE VENTA'!#REF!,'RESUMEN DE PUNTOS DE VENTA'!#REF!,E263,'RESUMEN DE PUNTOS DE VENTA'!#REF!,CROSSDOCKING!D266),"")</f>
        <v/>
      </c>
      <c r="I266" s="29" t="str">
        <f t="shared" si="22"/>
        <v/>
      </c>
    </row>
    <row r="267" spans="1:9" s="28" customFormat="1" x14ac:dyDescent="0.2">
      <c r="A267" s="109" t="s">
        <v>67</v>
      </c>
      <c r="B267" s="110"/>
      <c r="C267" s="110"/>
      <c r="D267" s="110"/>
      <c r="E267" s="111"/>
      <c r="F267" s="29">
        <f>SUM(F264:F266)</f>
        <v>1</v>
      </c>
      <c r="G267" s="107">
        <f>SUM(G264:G266)</f>
        <v>1</v>
      </c>
      <c r="H267" s="108"/>
      <c r="I267" s="29">
        <f>SUM(I264:I266)</f>
        <v>0</v>
      </c>
    </row>
    <row r="268" spans="1:9" s="28" customFormat="1" ht="15" customHeight="1" x14ac:dyDescent="0.2">
      <c r="A268" s="134" t="s">
        <v>150</v>
      </c>
      <c r="B268" s="135"/>
      <c r="C268" s="52">
        <f>COUNTIF($A$1:I267, "TOTAL")</f>
        <v>23</v>
      </c>
      <c r="D268" s="135" t="s">
        <v>146</v>
      </c>
      <c r="E268" s="135"/>
      <c r="F268" s="136">
        <f>CAJAS!$C$21</f>
        <v>33</v>
      </c>
      <c r="G268" s="136"/>
      <c r="H268" s="136"/>
      <c r="I268" s="137"/>
    </row>
    <row r="269" spans="1:9" s="28" customFormat="1" ht="10" customHeight="1" thickBot="1" x14ac:dyDescent="0.25">
      <c r="A269" s="138"/>
      <c r="B269" s="138"/>
      <c r="C269" s="138"/>
      <c r="D269" s="138"/>
      <c r="E269" s="138"/>
      <c r="F269" s="138"/>
      <c r="G269" s="138"/>
      <c r="H269" s="138"/>
      <c r="I269" s="138"/>
    </row>
    <row r="270" spans="1:9" s="28" customFormat="1" ht="10" customHeight="1" thickTop="1" x14ac:dyDescent="0.2">
      <c r="A270" s="115"/>
      <c r="B270" s="115"/>
      <c r="C270" s="115"/>
      <c r="D270" s="115"/>
      <c r="E270" s="115"/>
      <c r="F270" s="115"/>
      <c r="G270" s="115"/>
      <c r="H270" s="115"/>
      <c r="I270" s="115"/>
    </row>
    <row r="271" spans="1:9" s="28" customFormat="1" ht="16" x14ac:dyDescent="0.2">
      <c r="A271" s="116" t="s">
        <v>59</v>
      </c>
      <c r="B271" s="117"/>
      <c r="C271" s="117"/>
      <c r="D271" s="117"/>
      <c r="E271" s="117"/>
      <c r="F271" s="117"/>
      <c r="G271" s="117"/>
      <c r="H271" s="117"/>
      <c r="I271" s="118"/>
    </row>
    <row r="272" spans="1:9" s="28" customFormat="1" ht="16" x14ac:dyDescent="0.2">
      <c r="A272" s="119" t="s">
        <v>60</v>
      </c>
      <c r="B272" s="120"/>
      <c r="C272" s="120"/>
      <c r="D272" s="120"/>
      <c r="E272" s="120"/>
      <c r="F272" s="120"/>
      <c r="G272" s="120"/>
      <c r="H272" s="120"/>
      <c r="I272" s="121"/>
    </row>
    <row r="273" spans="1:9" s="28" customFormat="1" ht="18.75" customHeight="1" x14ac:dyDescent="0.2">
      <c r="A273" s="122" t="s">
        <v>61</v>
      </c>
      <c r="B273" s="123"/>
      <c r="C273" s="69">
        <v>768</v>
      </c>
      <c r="D273" s="53" t="s">
        <v>244</v>
      </c>
      <c r="E273" s="124" t="str">
        <f>VLOOKUP(C273,'PUNTOS DE VENTA'!$A$1:$C$75,3)</f>
        <v>XA292</v>
      </c>
      <c r="F273" s="125"/>
      <c r="G273" s="70" t="s">
        <v>62</v>
      </c>
      <c r="H273" s="126">
        <f>'RESUMEN DE PUNTOS DE VENTA'!$C$4</f>
        <v>2900678609</v>
      </c>
      <c r="I273" s="127"/>
    </row>
    <row r="274" spans="1:9" s="28" customFormat="1" ht="18.75" customHeight="1" x14ac:dyDescent="0.2">
      <c r="A274" s="122" t="s">
        <v>63</v>
      </c>
      <c r="B274" s="123"/>
      <c r="C274" s="128" t="str">
        <f>UPPER(VLOOKUP(C273,'PUNTOS DE VENTA'!$A$1:$B$75,2))</f>
        <v>WALMART CQ SAN CARLOS</v>
      </c>
      <c r="D274" s="128"/>
      <c r="E274" s="128"/>
      <c r="F274" s="128"/>
      <c r="G274" s="128"/>
      <c r="H274" s="128"/>
      <c r="I274" s="129"/>
    </row>
    <row r="275" spans="1:9" s="28" customFormat="1" ht="22.5" customHeight="1" x14ac:dyDescent="0.2">
      <c r="A275" s="130" t="s">
        <v>7</v>
      </c>
      <c r="B275" s="131"/>
      <c r="C275" s="71" t="s">
        <v>28</v>
      </c>
      <c r="D275" s="72" t="s">
        <v>11</v>
      </c>
      <c r="E275" s="72" t="s">
        <v>8</v>
      </c>
      <c r="F275" s="73" t="s">
        <v>64</v>
      </c>
      <c r="G275" s="132" t="s">
        <v>65</v>
      </c>
      <c r="H275" s="133"/>
      <c r="I275" s="74" t="s">
        <v>66</v>
      </c>
    </row>
    <row r="276" spans="1:9" s="28" customFormat="1" x14ac:dyDescent="0.2">
      <c r="A276" s="32">
        <v>1</v>
      </c>
      <c r="B276" s="30">
        <f>IF(SUMIFS('RESUMEN DE PUNTOS DE VENTA'!C$7:C$145,'RESUMEN DE PUNTOS DE VENTA'!A$7:A$145,C273,'RESUMEN DE PUNTOS DE VENTA'!C$7:C$145,"2645516") = 2645516, 2645516, IF(SUMIFS('RESUMEN DE PUNTOS DE VENTA'!C$7:C$145,'RESUMEN DE PUNTOS DE VENTA'!A$7:A$145,C273,'RESUMEN DE PUNTOS DE VENTA'!C$7:C$145,"2647973") = 2647973, 2647973, ""))</f>
        <v>2645516</v>
      </c>
      <c r="C276" s="31" t="str">
        <f>IF(B276&lt;&gt;"",UPPER(VLOOKUP(B276,CATALOGO!$A$8:$E$36,3)),"")</f>
        <v>ALMOHADA Y FUNDA BEBE COLORES SURTIDOS DOCOMA</v>
      </c>
      <c r="D276" s="31">
        <f>IF(B276&lt;&gt;"",VLOOKUP(B276,CATALOGO!$A$8:$E$36,2),"")</f>
        <v>7441119600652</v>
      </c>
      <c r="E276" s="29">
        <f>IF(B276&lt;&gt;"",VLOOKUP(B276,CATALOGO!$A$8:$E$36,5),"")</f>
        <v>3</v>
      </c>
      <c r="F276" s="29">
        <f>IF(B276&lt;&gt;"",SUMIFS('RESUMEN DE PUNTOS DE VENTA'!G$7:G$145,'RESUMEN DE PUNTOS DE VENTA'!A$7:A$145,C273,'RESUMEN DE PUNTOS DE VENTA'!C$7:C$145,CROSSDOCKING!B276),"")</f>
        <v>3</v>
      </c>
      <c r="G276" s="107">
        <f>IF(B276&lt;&gt;"",SUMIFS('RESUMEN DE PUNTOS DE VENTA'!H$7:H$145,'RESUMEN DE PUNTOS DE VENTA'!A$7:A$145,C273,'RESUMEN DE PUNTOS DE VENTA'!C$7:C$145,CROSSDOCKING!B276),"")</f>
        <v>1</v>
      </c>
      <c r="H276" s="108" t="e">
        <f>IF(D276&lt;&gt;"",SUMIFS('RESUMEN DE PUNTOS DE VENTA'!#REF!,'RESUMEN DE PUNTOS DE VENTA'!#REF!,E273,'RESUMEN DE PUNTOS DE VENTA'!#REF!,CROSSDOCKING!D276),"")</f>
        <v>#REF!</v>
      </c>
      <c r="I276" s="29">
        <f>IF(B276&lt;&gt;"",F276-G276,"")</f>
        <v>2</v>
      </c>
    </row>
    <row r="277" spans="1:9" s="28" customFormat="1" x14ac:dyDescent="0.2">
      <c r="A277" s="32">
        <v>2</v>
      </c>
      <c r="B277" s="30" t="str">
        <f>IF(AND(B276&lt;&gt;"",B276&lt;&gt;2647973),IF(SUMIFS('RESUMEN DE PUNTOS DE VENTA'!C$7:C$145,'RESUMEN DE PUNTOS DE VENTA'!A$7:A$145,C273,'RESUMEN DE PUNTOS DE VENTA'!C$7:C$145,"2647973")=2647973,2647973,""), "")</f>
        <v/>
      </c>
      <c r="C277" s="31" t="str">
        <f>IF(B277&lt;&gt;"",UPPER(VLOOKUP(B277,CATALOGO!$A$8:$E$36,3)),"")</f>
        <v/>
      </c>
      <c r="D277" s="31" t="str">
        <f>IF(B277&lt;&gt;"",VLOOKUP(B277,CATALOGO!$A$8:$E$36,2),"")</f>
        <v/>
      </c>
      <c r="E277" s="29" t="str">
        <f>IF(B277&lt;&gt;"",VLOOKUP(B277,CATALOGO!$A$8:$E$36,5),"")</f>
        <v/>
      </c>
      <c r="F277" s="29" t="str">
        <f>IF(B277&lt;&gt;"",SUMIFS('RESUMEN DE PUNTOS DE VENTA'!G$7:G$145,'RESUMEN DE PUNTOS DE VENTA'!A$7:A$145,C273,'RESUMEN DE PUNTOS DE VENTA'!C$7:C$145,CROSSDOCKING!B277),"")</f>
        <v/>
      </c>
      <c r="G277" s="107" t="str">
        <f>IF(B277&lt;&gt;"",SUMIFS('RESUMEN DE PUNTOS DE VENTA'!H$7:H$145,'RESUMEN DE PUNTOS DE VENTA'!A$7:A$145,C273,'RESUMEN DE PUNTOS DE VENTA'!C$7:C$145,CROSSDOCKING!B277),"")</f>
        <v/>
      </c>
      <c r="H277" s="108" t="str">
        <f>IF(D277&lt;&gt;"",SUMIFS('RESUMEN DE PUNTOS DE VENTA'!#REF!,'RESUMEN DE PUNTOS DE VENTA'!#REF!,E274,'RESUMEN DE PUNTOS DE VENTA'!#REF!,CROSSDOCKING!D277),"")</f>
        <v/>
      </c>
      <c r="I277" s="29" t="str">
        <f t="shared" ref="I277:I278" si="23">IF(B277&lt;&gt;"",F277-G277,"")</f>
        <v/>
      </c>
    </row>
    <row r="278" spans="1:9" s="28" customFormat="1" x14ac:dyDescent="0.2">
      <c r="A278" s="32">
        <v>3</v>
      </c>
      <c r="B278" s="30"/>
      <c r="C278" s="31" t="str">
        <f>IF(B278&lt;&gt;"",UPPER(VLOOKUP(B278,CATALOGO!$A$8:$E$36,3)),"")</f>
        <v/>
      </c>
      <c r="D278" s="31" t="str">
        <f>IF(B278&lt;&gt;"",VLOOKUP(B278,CATALOGO!$A$8:$E$36,2),"")</f>
        <v/>
      </c>
      <c r="E278" s="29" t="str">
        <f>IF(B278&lt;&gt;"",VLOOKUP(B278,CATALOGO!$A$8:$E$36,5),"")</f>
        <v/>
      </c>
      <c r="F278" s="29" t="str">
        <f>IF(B278&lt;&gt;"",SUMIFS('RESUMEN DE PUNTOS DE VENTA'!G$7:G$145,'RESUMEN DE PUNTOS DE VENTA'!A$7:A$145,C273,'RESUMEN DE PUNTOS DE VENTA'!C$7:C$145,CROSSDOCKING!B278),"")</f>
        <v/>
      </c>
      <c r="G278" s="107" t="str">
        <f>IF(B278&lt;&gt;"",SUMIFS('RESUMEN DE PUNTOS DE VENTA'!H$7:H$145,'RESUMEN DE PUNTOS DE VENTA'!A$7:A$145,C273,'RESUMEN DE PUNTOS DE VENTA'!C$7:C$145,CROSSDOCKING!B278),"")</f>
        <v/>
      </c>
      <c r="H278" s="108" t="str">
        <f>IF(D278&lt;&gt;"",SUMIFS('RESUMEN DE PUNTOS DE VENTA'!#REF!,'RESUMEN DE PUNTOS DE VENTA'!#REF!,E275,'RESUMEN DE PUNTOS DE VENTA'!#REF!,CROSSDOCKING!D278),"")</f>
        <v/>
      </c>
      <c r="I278" s="29" t="str">
        <f t="shared" si="23"/>
        <v/>
      </c>
    </row>
    <row r="279" spans="1:9" s="28" customFormat="1" ht="15" customHeight="1" x14ac:dyDescent="0.2">
      <c r="A279" s="109" t="s">
        <v>67</v>
      </c>
      <c r="B279" s="110"/>
      <c r="C279" s="110"/>
      <c r="D279" s="110"/>
      <c r="E279" s="111"/>
      <c r="F279" s="29">
        <f>SUM(F276:F278)</f>
        <v>3</v>
      </c>
      <c r="G279" s="107">
        <f>SUM(G276:G278)</f>
        <v>1</v>
      </c>
      <c r="H279" s="108"/>
      <c r="I279" s="29">
        <f>SUM(I276:I278)</f>
        <v>2</v>
      </c>
    </row>
    <row r="280" spans="1:9" s="28" customFormat="1" ht="15" customHeight="1" x14ac:dyDescent="0.2">
      <c r="A280" s="107" t="s">
        <v>150</v>
      </c>
      <c r="B280" s="112"/>
      <c r="C280" s="54">
        <f>COUNTIF($A$1:I279, "TOTAL")</f>
        <v>24</v>
      </c>
      <c r="D280" s="112" t="s">
        <v>146</v>
      </c>
      <c r="E280" s="112"/>
      <c r="F280" s="113">
        <f>CAJAS!$C$21</f>
        <v>33</v>
      </c>
      <c r="G280" s="113"/>
      <c r="H280" s="113"/>
      <c r="I280" s="114"/>
    </row>
    <row r="281" spans="1:9" s="28" customFormat="1" ht="16" x14ac:dyDescent="0.2">
      <c r="A281" s="116" t="s">
        <v>59</v>
      </c>
      <c r="B281" s="117"/>
      <c r="C281" s="117"/>
      <c r="D281" s="117"/>
      <c r="E281" s="117"/>
      <c r="F281" s="117"/>
      <c r="G281" s="117"/>
      <c r="H281" s="117"/>
      <c r="I281" s="118"/>
    </row>
    <row r="282" spans="1:9" s="28" customFormat="1" ht="16" x14ac:dyDescent="0.2">
      <c r="A282" s="119" t="s">
        <v>60</v>
      </c>
      <c r="B282" s="120"/>
      <c r="C282" s="120"/>
      <c r="D282" s="120"/>
      <c r="E282" s="120"/>
      <c r="F282" s="120"/>
      <c r="G282" s="120"/>
      <c r="H282" s="120"/>
      <c r="I282" s="121"/>
    </row>
    <row r="283" spans="1:9" s="28" customFormat="1" ht="18.75" customHeight="1" x14ac:dyDescent="0.2">
      <c r="A283" s="122" t="s">
        <v>61</v>
      </c>
      <c r="B283" s="123"/>
      <c r="C283" s="69">
        <v>778</v>
      </c>
      <c r="D283" s="53" t="s">
        <v>244</v>
      </c>
      <c r="E283" s="124" t="str">
        <f>VLOOKUP(C283,'PUNTOS DE VENTA'!$A$1:$C$75,3)</f>
        <v>XA249</v>
      </c>
      <c r="F283" s="125"/>
      <c r="G283" s="70" t="s">
        <v>62</v>
      </c>
      <c r="H283" s="126">
        <f>'RESUMEN DE PUNTOS DE VENTA'!$C$4</f>
        <v>2900678609</v>
      </c>
      <c r="I283" s="127"/>
    </row>
    <row r="284" spans="1:9" s="28" customFormat="1" ht="18.75" customHeight="1" x14ac:dyDescent="0.2">
      <c r="A284" s="122" t="s">
        <v>63</v>
      </c>
      <c r="B284" s="123"/>
      <c r="C284" s="128" t="str">
        <f>UPPER(VLOOKUP(C283,'PUNTOS DE VENTA'!$A$1:$B$75,2))</f>
        <v>MAXI MONTECILLOS</v>
      </c>
      <c r="D284" s="128"/>
      <c r="E284" s="128"/>
      <c r="F284" s="128"/>
      <c r="G284" s="128"/>
      <c r="H284" s="128"/>
      <c r="I284" s="129"/>
    </row>
    <row r="285" spans="1:9" s="28" customFormat="1" ht="22.5" customHeight="1" x14ac:dyDescent="0.2">
      <c r="A285" s="130" t="s">
        <v>7</v>
      </c>
      <c r="B285" s="131"/>
      <c r="C285" s="71" t="s">
        <v>28</v>
      </c>
      <c r="D285" s="72" t="s">
        <v>11</v>
      </c>
      <c r="E285" s="72" t="s">
        <v>8</v>
      </c>
      <c r="F285" s="73" t="s">
        <v>64</v>
      </c>
      <c r="G285" s="132" t="s">
        <v>65</v>
      </c>
      <c r="H285" s="133"/>
      <c r="I285" s="74" t="s">
        <v>66</v>
      </c>
    </row>
    <row r="286" spans="1:9" s="28" customFormat="1" x14ac:dyDescent="0.2">
      <c r="A286" s="32">
        <v>1</v>
      </c>
      <c r="B286" s="30">
        <f>IF(SUMIFS('RESUMEN DE PUNTOS DE VENTA'!C$7:C$145,'RESUMEN DE PUNTOS DE VENTA'!A$7:A$145,C283,'RESUMEN DE PUNTOS DE VENTA'!C$7:C$145,"2645516") = 2645516, 2645516, IF(SUMIFS('RESUMEN DE PUNTOS DE VENTA'!C$7:C$145,'RESUMEN DE PUNTOS DE VENTA'!A$7:A$145,C283,'RESUMEN DE PUNTOS DE VENTA'!C$7:C$145,"2647973") = 2647973, 2647973, ""))</f>
        <v>2647973</v>
      </c>
      <c r="C286" s="31" t="str">
        <f>IF(B286&lt;&gt;"",UPPER(VLOOKUP(B286,CATALOGO!$A$8:$E$36,3)),"")</f>
        <v>ALMOHADA BEBE SENCILLA ESTAMPADA</v>
      </c>
      <c r="D286" s="31">
        <f>IF(B286&lt;&gt;"",VLOOKUP(B286,CATALOGO!$A$8:$E$36,2),"")</f>
        <v>7441119600768</v>
      </c>
      <c r="E286" s="29">
        <f>IF(B286&lt;&gt;"",VLOOKUP(B286,CATALOGO!$A$8:$E$36,5),"")</f>
        <v>3</v>
      </c>
      <c r="F286" s="29">
        <f>IF(B286&lt;&gt;"",SUMIFS('RESUMEN DE PUNTOS DE VENTA'!G$7:G$145,'RESUMEN DE PUNTOS DE VENTA'!A$7:A$145,C283,'RESUMEN DE PUNTOS DE VENTA'!C$7:C$145,CROSSDOCKING!B286),"")</f>
        <v>1</v>
      </c>
      <c r="G286" s="107">
        <f>IF(B286&lt;&gt;"",SUMIFS('RESUMEN DE PUNTOS DE VENTA'!H$7:H$145,'RESUMEN DE PUNTOS DE VENTA'!A$7:A$145,C283,'RESUMEN DE PUNTOS DE VENTA'!C$7:C$145,CROSSDOCKING!B286),"")</f>
        <v>1</v>
      </c>
      <c r="H286" s="108" t="e">
        <f>IF(D286&lt;&gt;"",SUMIFS('RESUMEN DE PUNTOS DE VENTA'!#REF!,'RESUMEN DE PUNTOS DE VENTA'!#REF!,E283,'RESUMEN DE PUNTOS DE VENTA'!#REF!,CROSSDOCKING!D286),"")</f>
        <v>#REF!</v>
      </c>
      <c r="I286" s="29">
        <f>IF(B286&lt;&gt;"",F286-G286,"")</f>
        <v>0</v>
      </c>
    </row>
    <row r="287" spans="1:9" s="28" customFormat="1" x14ac:dyDescent="0.2">
      <c r="A287" s="32">
        <v>2</v>
      </c>
      <c r="B287" s="30" t="str">
        <f>IF(AND(B286&lt;&gt;"",B286&lt;&gt;2647973),IF(SUMIFS('RESUMEN DE PUNTOS DE VENTA'!C$7:C$145,'RESUMEN DE PUNTOS DE VENTA'!A$7:A$145,C283,'RESUMEN DE PUNTOS DE VENTA'!C$7:C$145,"2647973")=2647973,2647973,""), "")</f>
        <v/>
      </c>
      <c r="C287" s="31" t="str">
        <f>IF(B287&lt;&gt;"",UPPER(VLOOKUP(B287,CATALOGO!$A$8:$E$36,3)),"")</f>
        <v/>
      </c>
      <c r="D287" s="31" t="str">
        <f>IF(B287&lt;&gt;"",VLOOKUP(B287,CATALOGO!$A$8:$E$36,2),"")</f>
        <v/>
      </c>
      <c r="E287" s="29" t="str">
        <f>IF(B287&lt;&gt;"",VLOOKUP(B287,CATALOGO!$A$8:$E$36,5),"")</f>
        <v/>
      </c>
      <c r="F287" s="29" t="str">
        <f>IF(B287&lt;&gt;"",SUMIFS('RESUMEN DE PUNTOS DE VENTA'!G$7:G$145,'RESUMEN DE PUNTOS DE VENTA'!A$7:A$145,C283,'RESUMEN DE PUNTOS DE VENTA'!C$7:C$145,CROSSDOCKING!B287),"")</f>
        <v/>
      </c>
      <c r="G287" s="107" t="str">
        <f>IF(B287&lt;&gt;"",SUMIFS('RESUMEN DE PUNTOS DE VENTA'!H$7:H$145,'RESUMEN DE PUNTOS DE VENTA'!A$7:A$145,C283,'RESUMEN DE PUNTOS DE VENTA'!C$7:C$145,CROSSDOCKING!B287),"")</f>
        <v/>
      </c>
      <c r="H287" s="108" t="str">
        <f>IF(D287&lt;&gt;"",SUMIFS('RESUMEN DE PUNTOS DE VENTA'!#REF!,'RESUMEN DE PUNTOS DE VENTA'!#REF!,E284,'RESUMEN DE PUNTOS DE VENTA'!#REF!,CROSSDOCKING!D287),"")</f>
        <v/>
      </c>
      <c r="I287" s="29" t="str">
        <f t="shared" ref="I287:I288" si="24">IF(B287&lt;&gt;"",F287-G287,"")</f>
        <v/>
      </c>
    </row>
    <row r="288" spans="1:9" s="28" customFormat="1" x14ac:dyDescent="0.2">
      <c r="A288" s="32">
        <v>3</v>
      </c>
      <c r="B288" s="30"/>
      <c r="C288" s="31" t="str">
        <f>IF(B288&lt;&gt;"",UPPER(VLOOKUP(B288,CATALOGO!$A$8:$E$36,3)),"")</f>
        <v/>
      </c>
      <c r="D288" s="31" t="str">
        <f>IF(B288&lt;&gt;"",VLOOKUP(B288,CATALOGO!$A$8:$E$36,2),"")</f>
        <v/>
      </c>
      <c r="E288" s="29" t="str">
        <f>IF(B288&lt;&gt;"",VLOOKUP(B288,CATALOGO!$A$8:$E$36,5),"")</f>
        <v/>
      </c>
      <c r="F288" s="29" t="str">
        <f>IF(B288&lt;&gt;"",SUMIFS('RESUMEN DE PUNTOS DE VENTA'!G$7:G$145,'RESUMEN DE PUNTOS DE VENTA'!A$7:A$145,C283,'RESUMEN DE PUNTOS DE VENTA'!C$7:C$145,CROSSDOCKING!B288),"")</f>
        <v/>
      </c>
      <c r="G288" s="107" t="str">
        <f>IF(B288&lt;&gt;"",SUMIFS('RESUMEN DE PUNTOS DE VENTA'!H$7:H$145,'RESUMEN DE PUNTOS DE VENTA'!A$7:A$145,C283,'RESUMEN DE PUNTOS DE VENTA'!C$7:C$145,CROSSDOCKING!B288),"")</f>
        <v/>
      </c>
      <c r="H288" s="108" t="str">
        <f>IF(D288&lt;&gt;"",SUMIFS('RESUMEN DE PUNTOS DE VENTA'!#REF!,'RESUMEN DE PUNTOS DE VENTA'!#REF!,E285,'RESUMEN DE PUNTOS DE VENTA'!#REF!,CROSSDOCKING!D288),"")</f>
        <v/>
      </c>
      <c r="I288" s="29" t="str">
        <f t="shared" si="24"/>
        <v/>
      </c>
    </row>
    <row r="289" spans="1:9" s="28" customFormat="1" ht="15" customHeight="1" x14ac:dyDescent="0.2">
      <c r="A289" s="109" t="s">
        <v>67</v>
      </c>
      <c r="B289" s="110"/>
      <c r="C289" s="110"/>
      <c r="D289" s="110"/>
      <c r="E289" s="111"/>
      <c r="F289" s="29">
        <f>SUM(F286:F288)</f>
        <v>1</v>
      </c>
      <c r="G289" s="107">
        <f>SUM(G286:G288)</f>
        <v>1</v>
      </c>
      <c r="H289" s="108"/>
      <c r="I289" s="29">
        <f>SUM(I286:I288)</f>
        <v>0</v>
      </c>
    </row>
    <row r="290" spans="1:9" s="28" customFormat="1" ht="15" customHeight="1" x14ac:dyDescent="0.2">
      <c r="A290" s="134" t="s">
        <v>150</v>
      </c>
      <c r="B290" s="135"/>
      <c r="C290" s="52">
        <f>COUNTIF($A$1:I289, "TOTAL")</f>
        <v>25</v>
      </c>
      <c r="D290" s="135" t="s">
        <v>146</v>
      </c>
      <c r="E290" s="135"/>
      <c r="F290" s="136">
        <f>CAJAS!$C$21</f>
        <v>33</v>
      </c>
      <c r="G290" s="136"/>
      <c r="H290" s="136"/>
      <c r="I290" s="137"/>
    </row>
    <row r="291" spans="1:9" s="28" customFormat="1" ht="10" customHeight="1" thickBot="1" x14ac:dyDescent="0.25">
      <c r="A291" s="138"/>
      <c r="B291" s="138"/>
      <c r="C291" s="138"/>
      <c r="D291" s="138"/>
      <c r="E291" s="138"/>
      <c r="F291" s="138"/>
      <c r="G291" s="138"/>
      <c r="H291" s="138"/>
      <c r="I291" s="138"/>
    </row>
    <row r="292" spans="1:9" s="28" customFormat="1" ht="10" customHeight="1" thickTop="1" x14ac:dyDescent="0.2">
      <c r="A292" s="115"/>
      <c r="B292" s="115"/>
      <c r="C292" s="115"/>
      <c r="D292" s="115"/>
      <c r="E292" s="115"/>
      <c r="F292" s="115"/>
      <c r="G292" s="115"/>
      <c r="H292" s="115"/>
      <c r="I292" s="115"/>
    </row>
    <row r="293" spans="1:9" s="28" customFormat="1" ht="16" x14ac:dyDescent="0.2">
      <c r="A293" s="116" t="s">
        <v>59</v>
      </c>
      <c r="B293" s="117"/>
      <c r="C293" s="117"/>
      <c r="D293" s="117"/>
      <c r="E293" s="117"/>
      <c r="F293" s="117"/>
      <c r="G293" s="117"/>
      <c r="H293" s="117"/>
      <c r="I293" s="118"/>
    </row>
    <row r="294" spans="1:9" s="28" customFormat="1" ht="16" x14ac:dyDescent="0.2">
      <c r="A294" s="119" t="s">
        <v>60</v>
      </c>
      <c r="B294" s="120"/>
      <c r="C294" s="120"/>
      <c r="D294" s="120"/>
      <c r="E294" s="120"/>
      <c r="F294" s="120"/>
      <c r="G294" s="120"/>
      <c r="H294" s="120"/>
      <c r="I294" s="121"/>
    </row>
    <row r="295" spans="1:9" s="28" customFormat="1" ht="18.75" customHeight="1" x14ac:dyDescent="0.2">
      <c r="A295" s="122" t="s">
        <v>61</v>
      </c>
      <c r="B295" s="123"/>
      <c r="C295" s="69">
        <v>806</v>
      </c>
      <c r="D295" s="53" t="s">
        <v>244</v>
      </c>
      <c r="E295" s="124" t="str">
        <f>VLOOKUP(C295,'PUNTOS DE VENTA'!$A$1:$C$75,3)</f>
        <v>XA256</v>
      </c>
      <c r="F295" s="125"/>
      <c r="G295" s="70" t="s">
        <v>62</v>
      </c>
      <c r="H295" s="126">
        <f>'RESUMEN DE PUNTOS DE VENTA'!$C$4</f>
        <v>2900678609</v>
      </c>
      <c r="I295" s="127"/>
    </row>
    <row r="296" spans="1:9" s="28" customFormat="1" ht="18.75" customHeight="1" x14ac:dyDescent="0.2">
      <c r="A296" s="122" t="s">
        <v>63</v>
      </c>
      <c r="B296" s="123"/>
      <c r="C296" s="128" t="str">
        <f>UPPER(VLOOKUP(C295,'PUNTOS DE VENTA'!$A$1:$B$75,2))</f>
        <v>MAXI SANTA ANA</v>
      </c>
      <c r="D296" s="128"/>
      <c r="E296" s="128"/>
      <c r="F296" s="128"/>
      <c r="G296" s="128"/>
      <c r="H296" s="128"/>
      <c r="I296" s="129"/>
    </row>
    <row r="297" spans="1:9" s="28" customFormat="1" ht="22.5" customHeight="1" x14ac:dyDescent="0.2">
      <c r="A297" s="130" t="s">
        <v>7</v>
      </c>
      <c r="B297" s="131"/>
      <c r="C297" s="71" t="s">
        <v>28</v>
      </c>
      <c r="D297" s="72" t="s">
        <v>11</v>
      </c>
      <c r="E297" s="72" t="s">
        <v>8</v>
      </c>
      <c r="F297" s="73" t="s">
        <v>64</v>
      </c>
      <c r="G297" s="132" t="s">
        <v>65</v>
      </c>
      <c r="H297" s="133"/>
      <c r="I297" s="74" t="s">
        <v>66</v>
      </c>
    </row>
    <row r="298" spans="1:9" s="28" customFormat="1" x14ac:dyDescent="0.2">
      <c r="A298" s="32">
        <v>1</v>
      </c>
      <c r="B298" s="30">
        <f>IF(SUMIFS('RESUMEN DE PUNTOS DE VENTA'!C$7:C$145,'RESUMEN DE PUNTOS DE VENTA'!A$7:A$145,C295,'RESUMEN DE PUNTOS DE VENTA'!C$7:C$145,"2645516") = 2645516, 2645516, IF(SUMIFS('RESUMEN DE PUNTOS DE VENTA'!C$7:C$145,'RESUMEN DE PUNTOS DE VENTA'!A$7:A$145,C295,'RESUMEN DE PUNTOS DE VENTA'!C$7:C$145,"2647973") = 2647973, 2647973, ""))</f>
        <v>2647973</v>
      </c>
      <c r="C298" s="31" t="str">
        <f>IF(B298&lt;&gt;"",UPPER(VLOOKUP(B298,CATALOGO!$A$8:$E$36,3)),"")</f>
        <v>ALMOHADA BEBE SENCILLA ESTAMPADA</v>
      </c>
      <c r="D298" s="31">
        <f>IF(B298&lt;&gt;"",VLOOKUP(B298,CATALOGO!$A$8:$E$36,2),"")</f>
        <v>7441119600768</v>
      </c>
      <c r="E298" s="29">
        <f>IF(B298&lt;&gt;"",VLOOKUP(B298,CATALOGO!$A$8:$E$36,5),"")</f>
        <v>3</v>
      </c>
      <c r="F298" s="29">
        <f>IF(B298&lt;&gt;"",SUMIFS('RESUMEN DE PUNTOS DE VENTA'!G$7:G$145,'RESUMEN DE PUNTOS DE VENTA'!A$7:A$145,C295,'RESUMEN DE PUNTOS DE VENTA'!C$7:C$145,CROSSDOCKING!B298),"")</f>
        <v>1</v>
      </c>
      <c r="G298" s="107">
        <f>IF(B298&lt;&gt;"",SUMIFS('RESUMEN DE PUNTOS DE VENTA'!H$7:H$145,'RESUMEN DE PUNTOS DE VENTA'!A$7:A$145,C295,'RESUMEN DE PUNTOS DE VENTA'!C$7:C$145,CROSSDOCKING!B298),"")</f>
        <v>1</v>
      </c>
      <c r="H298" s="108" t="e">
        <f>IF(D298&lt;&gt;"",SUMIFS('RESUMEN DE PUNTOS DE VENTA'!#REF!,'RESUMEN DE PUNTOS DE VENTA'!#REF!,E295,'RESUMEN DE PUNTOS DE VENTA'!#REF!,CROSSDOCKING!D298),"")</f>
        <v>#REF!</v>
      </c>
      <c r="I298" s="29">
        <f>IF(B298&lt;&gt;"",F298-G298,"")</f>
        <v>0</v>
      </c>
    </row>
    <row r="299" spans="1:9" s="28" customFormat="1" x14ac:dyDescent="0.2">
      <c r="A299" s="32">
        <v>2</v>
      </c>
      <c r="B299" s="30" t="str">
        <f>IF(AND(B298&lt;&gt;"",B298&lt;&gt;2647973),IF(SUMIFS('RESUMEN DE PUNTOS DE VENTA'!C$7:C$145,'RESUMEN DE PUNTOS DE VENTA'!A$7:A$145,C295,'RESUMEN DE PUNTOS DE VENTA'!C$7:C$145,"2647973")=2647973,2647973,""), "")</f>
        <v/>
      </c>
      <c r="C299" s="31" t="str">
        <f>IF(B299&lt;&gt;"",UPPER(VLOOKUP(B299,CATALOGO!$A$8:$E$36,3)),"")</f>
        <v/>
      </c>
      <c r="D299" s="31" t="str">
        <f>IF(B299&lt;&gt;"",VLOOKUP(B299,CATALOGO!$A$8:$E$36,2),"")</f>
        <v/>
      </c>
      <c r="E299" s="29" t="str">
        <f>IF(B299&lt;&gt;"",VLOOKUP(B299,CATALOGO!$A$8:$E$36,5),"")</f>
        <v/>
      </c>
      <c r="F299" s="29" t="str">
        <f>IF(B299&lt;&gt;"",SUMIFS('RESUMEN DE PUNTOS DE VENTA'!G$7:G$145,'RESUMEN DE PUNTOS DE VENTA'!A$7:A$145,C295,'RESUMEN DE PUNTOS DE VENTA'!C$7:C$145,CROSSDOCKING!B299),"")</f>
        <v/>
      </c>
      <c r="G299" s="107" t="str">
        <f>IF(B299&lt;&gt;"",SUMIFS('RESUMEN DE PUNTOS DE VENTA'!H$7:H$145,'RESUMEN DE PUNTOS DE VENTA'!A$7:A$145,C295,'RESUMEN DE PUNTOS DE VENTA'!C$7:C$145,CROSSDOCKING!B299),"")</f>
        <v/>
      </c>
      <c r="H299" s="108" t="str">
        <f>IF(D299&lt;&gt;"",SUMIFS('RESUMEN DE PUNTOS DE VENTA'!#REF!,'RESUMEN DE PUNTOS DE VENTA'!#REF!,E296,'RESUMEN DE PUNTOS DE VENTA'!#REF!,CROSSDOCKING!D299),"")</f>
        <v/>
      </c>
      <c r="I299" s="29" t="str">
        <f t="shared" ref="I299:I300" si="25">IF(B299&lt;&gt;"",F299-G299,"")</f>
        <v/>
      </c>
    </row>
    <row r="300" spans="1:9" s="28" customFormat="1" x14ac:dyDescent="0.2">
      <c r="A300" s="32">
        <v>3</v>
      </c>
      <c r="B300" s="30"/>
      <c r="C300" s="31" t="str">
        <f>IF(B300&lt;&gt;"",UPPER(VLOOKUP(B300,CATALOGO!$A$8:$E$36,3)),"")</f>
        <v/>
      </c>
      <c r="D300" s="31" t="str">
        <f>IF(B300&lt;&gt;"",VLOOKUP(B300,CATALOGO!$A$8:$E$36,2),"")</f>
        <v/>
      </c>
      <c r="E300" s="29" t="str">
        <f>IF(B300&lt;&gt;"",VLOOKUP(B300,CATALOGO!$A$8:$E$36,5),"")</f>
        <v/>
      </c>
      <c r="F300" s="29" t="str">
        <f>IF(B300&lt;&gt;"",SUMIFS('RESUMEN DE PUNTOS DE VENTA'!G$7:G$145,'RESUMEN DE PUNTOS DE VENTA'!A$7:A$145,C295,'RESUMEN DE PUNTOS DE VENTA'!C$7:C$145,CROSSDOCKING!B300),"")</f>
        <v/>
      </c>
      <c r="G300" s="107" t="str">
        <f>IF(B300&lt;&gt;"",SUMIFS('RESUMEN DE PUNTOS DE VENTA'!H$7:H$145,'RESUMEN DE PUNTOS DE VENTA'!A$7:A$145,C295,'RESUMEN DE PUNTOS DE VENTA'!C$7:C$145,CROSSDOCKING!B300),"")</f>
        <v/>
      </c>
      <c r="H300" s="108" t="str">
        <f>IF(D300&lt;&gt;"",SUMIFS('RESUMEN DE PUNTOS DE VENTA'!#REF!,'RESUMEN DE PUNTOS DE VENTA'!#REF!,E297,'RESUMEN DE PUNTOS DE VENTA'!#REF!,CROSSDOCKING!D300),"")</f>
        <v/>
      </c>
      <c r="I300" s="29" t="str">
        <f t="shared" si="25"/>
        <v/>
      </c>
    </row>
    <row r="301" spans="1:9" s="28" customFormat="1" ht="15" customHeight="1" x14ac:dyDescent="0.2">
      <c r="A301" s="109" t="s">
        <v>67</v>
      </c>
      <c r="B301" s="110"/>
      <c r="C301" s="110"/>
      <c r="D301" s="110"/>
      <c r="E301" s="111"/>
      <c r="F301" s="29">
        <f>SUM(F298:F300)</f>
        <v>1</v>
      </c>
      <c r="G301" s="107">
        <f>SUM(G298:G300)</f>
        <v>1</v>
      </c>
      <c r="H301" s="108"/>
      <c r="I301" s="29">
        <f>SUM(I298:I300)</f>
        <v>0</v>
      </c>
    </row>
    <row r="302" spans="1:9" s="28" customFormat="1" ht="15" customHeight="1" x14ac:dyDescent="0.2">
      <c r="A302" s="134" t="s">
        <v>150</v>
      </c>
      <c r="B302" s="135"/>
      <c r="C302" s="52">
        <f>COUNTIF($A$1:I301, "TOTAL")</f>
        <v>26</v>
      </c>
      <c r="D302" s="135" t="s">
        <v>146</v>
      </c>
      <c r="E302" s="135"/>
      <c r="F302" s="136">
        <f>CAJAS!$C$21</f>
        <v>33</v>
      </c>
      <c r="G302" s="136"/>
      <c r="H302" s="136"/>
      <c r="I302" s="137"/>
    </row>
    <row r="303" spans="1:9" s="28" customFormat="1" ht="10" customHeight="1" thickBot="1" x14ac:dyDescent="0.25">
      <c r="A303" s="138"/>
      <c r="B303" s="138"/>
      <c r="C303" s="138"/>
      <c r="D303" s="138"/>
      <c r="E303" s="138"/>
      <c r="F303" s="138"/>
      <c r="G303" s="138"/>
      <c r="H303" s="138"/>
      <c r="I303" s="138"/>
    </row>
    <row r="304" spans="1:9" s="28" customFormat="1" ht="10" customHeight="1" thickTop="1" x14ac:dyDescent="0.2">
      <c r="A304" s="115"/>
      <c r="B304" s="115"/>
      <c r="C304" s="115"/>
      <c r="D304" s="115"/>
      <c r="E304" s="115"/>
      <c r="F304" s="115"/>
      <c r="G304" s="115"/>
      <c r="H304" s="115"/>
      <c r="I304" s="115"/>
    </row>
    <row r="305" spans="1:9" s="28" customFormat="1" ht="16" x14ac:dyDescent="0.2">
      <c r="A305" s="116" t="s">
        <v>59</v>
      </c>
      <c r="B305" s="117"/>
      <c r="C305" s="117"/>
      <c r="D305" s="117"/>
      <c r="E305" s="117"/>
      <c r="F305" s="117"/>
      <c r="G305" s="117"/>
      <c r="H305" s="117"/>
      <c r="I305" s="118"/>
    </row>
    <row r="306" spans="1:9" s="28" customFormat="1" ht="16" x14ac:dyDescent="0.2">
      <c r="A306" s="119" t="s">
        <v>60</v>
      </c>
      <c r="B306" s="120"/>
      <c r="C306" s="120"/>
      <c r="D306" s="120"/>
      <c r="E306" s="120"/>
      <c r="F306" s="120"/>
      <c r="G306" s="120"/>
      <c r="H306" s="120"/>
      <c r="I306" s="121"/>
    </row>
    <row r="307" spans="1:9" s="28" customFormat="1" ht="18.75" customHeight="1" x14ac:dyDescent="0.2">
      <c r="A307" s="122" t="s">
        <v>61</v>
      </c>
      <c r="B307" s="123"/>
      <c r="C307" s="69">
        <v>827</v>
      </c>
      <c r="D307" s="53" t="s">
        <v>244</v>
      </c>
      <c r="E307" s="124" t="str">
        <f>VLOOKUP(C307,'PUNTOS DE VENTA'!$A$1:$C$75,3)</f>
        <v>XA085</v>
      </c>
      <c r="F307" s="125"/>
      <c r="G307" s="70" t="s">
        <v>62</v>
      </c>
      <c r="H307" s="126">
        <f>'RESUMEN DE PUNTOS DE VENTA'!$C$4</f>
        <v>2900678609</v>
      </c>
      <c r="I307" s="127"/>
    </row>
    <row r="308" spans="1:9" s="28" customFormat="1" ht="18.75" customHeight="1" x14ac:dyDescent="0.2">
      <c r="A308" s="122" t="s">
        <v>63</v>
      </c>
      <c r="B308" s="123"/>
      <c r="C308" s="128" t="str">
        <f>UPPER(VLOOKUP(C307,'PUNTOS DE VENTA'!$A$1:$B$75,2))</f>
        <v>MAXI LA FORTUNA</v>
      </c>
      <c r="D308" s="128"/>
      <c r="E308" s="128"/>
      <c r="F308" s="128"/>
      <c r="G308" s="128"/>
      <c r="H308" s="128"/>
      <c r="I308" s="129"/>
    </row>
    <row r="309" spans="1:9" s="28" customFormat="1" ht="22.5" customHeight="1" x14ac:dyDescent="0.2">
      <c r="A309" s="130" t="s">
        <v>7</v>
      </c>
      <c r="B309" s="131"/>
      <c r="C309" s="71" t="s">
        <v>28</v>
      </c>
      <c r="D309" s="72" t="s">
        <v>11</v>
      </c>
      <c r="E309" s="72" t="s">
        <v>8</v>
      </c>
      <c r="F309" s="73" t="s">
        <v>64</v>
      </c>
      <c r="G309" s="132" t="s">
        <v>65</v>
      </c>
      <c r="H309" s="133"/>
      <c r="I309" s="74" t="s">
        <v>66</v>
      </c>
    </row>
    <row r="310" spans="1:9" s="28" customFormat="1" x14ac:dyDescent="0.2">
      <c r="A310" s="32">
        <v>1</v>
      </c>
      <c r="B310" s="30">
        <f>IF(SUMIFS('RESUMEN DE PUNTOS DE VENTA'!C$7:C$145,'RESUMEN DE PUNTOS DE VENTA'!A$7:A$145,C307,'RESUMEN DE PUNTOS DE VENTA'!C$7:C$145,"2645516") = 2645516, 2645516, IF(SUMIFS('RESUMEN DE PUNTOS DE VENTA'!C$7:C$145,'RESUMEN DE PUNTOS DE VENTA'!A$7:A$145,C307,'RESUMEN DE PUNTOS DE VENTA'!C$7:C$145,"2647973") = 2647973, 2647973, ""))</f>
        <v>2645516</v>
      </c>
      <c r="C310" s="31" t="str">
        <f>IF(B310&lt;&gt;"",UPPER(VLOOKUP(B310,CATALOGO!$A$8:$E$36,3)),"")</f>
        <v>ALMOHADA Y FUNDA BEBE COLORES SURTIDOS DOCOMA</v>
      </c>
      <c r="D310" s="31">
        <f>IF(B310&lt;&gt;"",VLOOKUP(B310,CATALOGO!$A$8:$E$36,2),"")</f>
        <v>7441119600652</v>
      </c>
      <c r="E310" s="29">
        <f>IF(B310&lt;&gt;"",VLOOKUP(B310,CATALOGO!$A$8:$E$36,5),"")</f>
        <v>3</v>
      </c>
      <c r="F310" s="29">
        <f>IF(B310&lt;&gt;"",SUMIFS('RESUMEN DE PUNTOS DE VENTA'!G$7:G$145,'RESUMEN DE PUNTOS DE VENTA'!A$7:A$145,C307,'RESUMEN DE PUNTOS DE VENTA'!C$7:C$145,CROSSDOCKING!B310),"")</f>
        <v>1</v>
      </c>
      <c r="G310" s="107">
        <f>IF(B310&lt;&gt;"",SUMIFS('RESUMEN DE PUNTOS DE VENTA'!H$7:H$145,'RESUMEN DE PUNTOS DE VENTA'!A$7:A$145,C307,'RESUMEN DE PUNTOS DE VENTA'!C$7:C$145,CROSSDOCKING!B310),"")</f>
        <v>1</v>
      </c>
      <c r="H310" s="108" t="e">
        <f>IF(D310&lt;&gt;"",SUMIFS('RESUMEN DE PUNTOS DE VENTA'!#REF!,'RESUMEN DE PUNTOS DE VENTA'!#REF!,E307,'RESUMEN DE PUNTOS DE VENTA'!#REF!,CROSSDOCKING!D310),"")</f>
        <v>#REF!</v>
      </c>
      <c r="I310" s="29">
        <f>IF(B310&lt;&gt;"",F310-G310,"")</f>
        <v>0</v>
      </c>
    </row>
    <row r="311" spans="1:9" s="28" customFormat="1" x14ac:dyDescent="0.2">
      <c r="A311" s="32">
        <v>2</v>
      </c>
      <c r="B311" s="30" t="str">
        <f>IF(AND(B310&lt;&gt;"",B310&lt;&gt;2647973),IF(SUMIFS('RESUMEN DE PUNTOS DE VENTA'!C$7:C$145,'RESUMEN DE PUNTOS DE VENTA'!A$7:A$145,C307,'RESUMEN DE PUNTOS DE VENTA'!C$7:C$145,"2647973")=2647973,2647973,""), "")</f>
        <v/>
      </c>
      <c r="C311" s="31" t="str">
        <f>IF(B311&lt;&gt;"",UPPER(VLOOKUP(B311,CATALOGO!$A$8:$E$36,3)),"")</f>
        <v/>
      </c>
      <c r="D311" s="31" t="str">
        <f>IF(B311&lt;&gt;"",VLOOKUP(B311,CATALOGO!$A$8:$E$36,2),"")</f>
        <v/>
      </c>
      <c r="E311" s="29" t="str">
        <f>IF(B311&lt;&gt;"",VLOOKUP(B311,CATALOGO!$A$8:$E$36,5),"")</f>
        <v/>
      </c>
      <c r="F311" s="29" t="str">
        <f>IF(B311&lt;&gt;"",SUMIFS('RESUMEN DE PUNTOS DE VENTA'!G$7:G$145,'RESUMEN DE PUNTOS DE VENTA'!A$7:A$145,C307,'RESUMEN DE PUNTOS DE VENTA'!C$7:C$145,CROSSDOCKING!B311),"")</f>
        <v/>
      </c>
      <c r="G311" s="107" t="str">
        <f>IF(B311&lt;&gt;"",SUMIFS('RESUMEN DE PUNTOS DE VENTA'!H$7:H$145,'RESUMEN DE PUNTOS DE VENTA'!A$7:A$145,C307,'RESUMEN DE PUNTOS DE VENTA'!C$7:C$145,CROSSDOCKING!B311),"")</f>
        <v/>
      </c>
      <c r="H311" s="108" t="str">
        <f>IF(D311&lt;&gt;"",SUMIFS('RESUMEN DE PUNTOS DE VENTA'!#REF!,'RESUMEN DE PUNTOS DE VENTA'!#REF!,E308,'RESUMEN DE PUNTOS DE VENTA'!#REF!,CROSSDOCKING!D311),"")</f>
        <v/>
      </c>
      <c r="I311" s="29" t="str">
        <f t="shared" ref="I311:I312" si="26">IF(B311&lt;&gt;"",F311-G311,"")</f>
        <v/>
      </c>
    </row>
    <row r="312" spans="1:9" s="28" customFormat="1" x14ac:dyDescent="0.2">
      <c r="A312" s="32">
        <v>3</v>
      </c>
      <c r="B312" s="30"/>
      <c r="C312" s="31" t="str">
        <f>IF(B312&lt;&gt;"",UPPER(VLOOKUP(B312,CATALOGO!$A$8:$E$36,3)),"")</f>
        <v/>
      </c>
      <c r="D312" s="31" t="str">
        <f>IF(B312&lt;&gt;"",VLOOKUP(B312,CATALOGO!$A$8:$E$36,2),"")</f>
        <v/>
      </c>
      <c r="E312" s="29" t="str">
        <f>IF(B312&lt;&gt;"",VLOOKUP(B312,CATALOGO!$A$8:$E$36,5),"")</f>
        <v/>
      </c>
      <c r="F312" s="29" t="str">
        <f>IF(B312&lt;&gt;"",SUMIFS('RESUMEN DE PUNTOS DE VENTA'!G$7:G$145,'RESUMEN DE PUNTOS DE VENTA'!A$7:A$145,C307,'RESUMEN DE PUNTOS DE VENTA'!C$7:C$145,CROSSDOCKING!B312),"")</f>
        <v/>
      </c>
      <c r="G312" s="107" t="str">
        <f>IF(B312&lt;&gt;"",SUMIFS('RESUMEN DE PUNTOS DE VENTA'!H$7:H$145,'RESUMEN DE PUNTOS DE VENTA'!A$7:A$145,C307,'RESUMEN DE PUNTOS DE VENTA'!C$7:C$145,CROSSDOCKING!B312),"")</f>
        <v/>
      </c>
      <c r="H312" s="108" t="str">
        <f>IF(D312&lt;&gt;"",SUMIFS('RESUMEN DE PUNTOS DE VENTA'!#REF!,'RESUMEN DE PUNTOS DE VENTA'!#REF!,E309,'RESUMEN DE PUNTOS DE VENTA'!#REF!,CROSSDOCKING!D312),"")</f>
        <v/>
      </c>
      <c r="I312" s="29" t="str">
        <f t="shared" si="26"/>
        <v/>
      </c>
    </row>
    <row r="313" spans="1:9" s="28" customFormat="1" x14ac:dyDescent="0.2">
      <c r="A313" s="109" t="s">
        <v>67</v>
      </c>
      <c r="B313" s="110"/>
      <c r="C313" s="110"/>
      <c r="D313" s="110"/>
      <c r="E313" s="111"/>
      <c r="F313" s="29">
        <f>SUM(F310:F312)</f>
        <v>1</v>
      </c>
      <c r="G313" s="107">
        <f>SUM(G310:G312)</f>
        <v>1</v>
      </c>
      <c r="H313" s="108"/>
      <c r="I313" s="29">
        <f>SUM(I310:I312)</f>
        <v>0</v>
      </c>
    </row>
    <row r="314" spans="1:9" s="28" customFormat="1" ht="15" customHeight="1" x14ac:dyDescent="0.2">
      <c r="A314" s="134" t="s">
        <v>150</v>
      </c>
      <c r="B314" s="135"/>
      <c r="C314" s="52">
        <f>COUNTIF($A$1:I313, "TOTAL")</f>
        <v>27</v>
      </c>
      <c r="D314" s="135" t="s">
        <v>146</v>
      </c>
      <c r="E314" s="135"/>
      <c r="F314" s="136">
        <f>CAJAS!$C$21</f>
        <v>33</v>
      </c>
      <c r="G314" s="136"/>
      <c r="H314" s="136"/>
      <c r="I314" s="137"/>
    </row>
    <row r="315" spans="1:9" s="28" customFormat="1" ht="10" customHeight="1" thickBot="1" x14ac:dyDescent="0.25">
      <c r="A315" s="138"/>
      <c r="B315" s="138"/>
      <c r="C315" s="138"/>
      <c r="D315" s="138"/>
      <c r="E315" s="138"/>
      <c r="F315" s="138"/>
      <c r="G315" s="138"/>
      <c r="H315" s="138"/>
      <c r="I315" s="138"/>
    </row>
    <row r="316" spans="1:9" s="28" customFormat="1" ht="10" customHeight="1" thickTop="1" x14ac:dyDescent="0.2">
      <c r="A316" s="115"/>
      <c r="B316" s="115"/>
      <c r="C316" s="115"/>
      <c r="D316" s="115"/>
      <c r="E316" s="115"/>
      <c r="F316" s="115"/>
      <c r="G316" s="115"/>
      <c r="H316" s="115"/>
      <c r="I316" s="115"/>
    </row>
    <row r="317" spans="1:9" s="28" customFormat="1" ht="16" x14ac:dyDescent="0.2">
      <c r="A317" s="116" t="s">
        <v>59</v>
      </c>
      <c r="B317" s="117"/>
      <c r="C317" s="117"/>
      <c r="D317" s="117"/>
      <c r="E317" s="117"/>
      <c r="F317" s="117"/>
      <c r="G317" s="117"/>
      <c r="H317" s="117"/>
      <c r="I317" s="118"/>
    </row>
    <row r="318" spans="1:9" s="28" customFormat="1" ht="16" x14ac:dyDescent="0.2">
      <c r="A318" s="119" t="s">
        <v>60</v>
      </c>
      <c r="B318" s="120"/>
      <c r="C318" s="120"/>
      <c r="D318" s="120"/>
      <c r="E318" s="120"/>
      <c r="F318" s="120"/>
      <c r="G318" s="120"/>
      <c r="H318" s="120"/>
      <c r="I318" s="121"/>
    </row>
    <row r="319" spans="1:9" s="28" customFormat="1" ht="18.75" customHeight="1" x14ac:dyDescent="0.2">
      <c r="A319" s="122" t="s">
        <v>61</v>
      </c>
      <c r="B319" s="123"/>
      <c r="C319" s="69">
        <v>828</v>
      </c>
      <c r="D319" s="53" t="s">
        <v>244</v>
      </c>
      <c r="E319" s="124" t="str">
        <f>VLOOKUP(C319,'PUNTOS DE VENTA'!$A$1:$C$75,3)</f>
        <v>XA073</v>
      </c>
      <c r="F319" s="125"/>
      <c r="G319" s="70" t="s">
        <v>62</v>
      </c>
      <c r="H319" s="126">
        <f>'RESUMEN DE PUNTOS DE VENTA'!$C$4</f>
        <v>2900678609</v>
      </c>
      <c r="I319" s="127"/>
    </row>
    <row r="320" spans="1:9" s="28" customFormat="1" ht="18.75" customHeight="1" x14ac:dyDescent="0.2">
      <c r="A320" s="122" t="s">
        <v>63</v>
      </c>
      <c r="B320" s="123"/>
      <c r="C320" s="128" t="str">
        <f>UPPER(VLOOKUP(C319,'PUNTOS DE VENTA'!$A$1:$B$75,2))</f>
        <v>MAXI UPALA</v>
      </c>
      <c r="D320" s="128"/>
      <c r="E320" s="128"/>
      <c r="F320" s="128"/>
      <c r="G320" s="128"/>
      <c r="H320" s="128"/>
      <c r="I320" s="129"/>
    </row>
    <row r="321" spans="1:9" s="28" customFormat="1" ht="22.5" customHeight="1" x14ac:dyDescent="0.2">
      <c r="A321" s="130" t="s">
        <v>7</v>
      </c>
      <c r="B321" s="131"/>
      <c r="C321" s="71" t="s">
        <v>28</v>
      </c>
      <c r="D321" s="72" t="s">
        <v>11</v>
      </c>
      <c r="E321" s="72" t="s">
        <v>8</v>
      </c>
      <c r="F321" s="73" t="s">
        <v>64</v>
      </c>
      <c r="G321" s="132" t="s">
        <v>65</v>
      </c>
      <c r="H321" s="133"/>
      <c r="I321" s="74" t="s">
        <v>66</v>
      </c>
    </row>
    <row r="322" spans="1:9" s="28" customFormat="1" x14ac:dyDescent="0.2">
      <c r="A322" s="32">
        <v>1</v>
      </c>
      <c r="B322" s="30">
        <f>IF(SUMIFS('RESUMEN DE PUNTOS DE VENTA'!C$7:C$145,'RESUMEN DE PUNTOS DE VENTA'!A$7:A$145,C319,'RESUMEN DE PUNTOS DE VENTA'!C$7:C$145,"2645516") = 2645516, 2645516, IF(SUMIFS('RESUMEN DE PUNTOS DE VENTA'!C$7:C$145,'RESUMEN DE PUNTOS DE VENTA'!A$7:A$145,C319,'RESUMEN DE PUNTOS DE VENTA'!C$7:C$145,"2647973") = 2647973, 2647973, ""))</f>
        <v>2645516</v>
      </c>
      <c r="C322" s="31" t="str">
        <f>IF(B322&lt;&gt;"",UPPER(VLOOKUP(B322,CATALOGO!$A$8:$E$36,3)),"")</f>
        <v>ALMOHADA Y FUNDA BEBE COLORES SURTIDOS DOCOMA</v>
      </c>
      <c r="D322" s="31">
        <f>IF(B322&lt;&gt;"",VLOOKUP(B322,CATALOGO!$A$8:$E$36,2),"")</f>
        <v>7441119600652</v>
      </c>
      <c r="E322" s="29">
        <f>IF(B322&lt;&gt;"",VLOOKUP(B322,CATALOGO!$A$8:$E$36,5),"")</f>
        <v>3</v>
      </c>
      <c r="F322" s="29">
        <f>IF(B322&lt;&gt;"",SUMIFS('RESUMEN DE PUNTOS DE VENTA'!G$7:G$145,'RESUMEN DE PUNTOS DE VENTA'!A$7:A$145,C319,'RESUMEN DE PUNTOS DE VENTA'!C$7:C$145,CROSSDOCKING!B322),"")</f>
        <v>1</v>
      </c>
      <c r="G322" s="107">
        <f>IF(B322&lt;&gt;"",SUMIFS('RESUMEN DE PUNTOS DE VENTA'!H$7:H$145,'RESUMEN DE PUNTOS DE VENTA'!A$7:A$145,C319,'RESUMEN DE PUNTOS DE VENTA'!C$7:C$145,CROSSDOCKING!B322),"")</f>
        <v>1</v>
      </c>
      <c r="H322" s="108" t="e">
        <f>IF(D322&lt;&gt;"",SUMIFS('RESUMEN DE PUNTOS DE VENTA'!#REF!,'RESUMEN DE PUNTOS DE VENTA'!#REF!,E319,'RESUMEN DE PUNTOS DE VENTA'!#REF!,CROSSDOCKING!D322),"")</f>
        <v>#REF!</v>
      </c>
      <c r="I322" s="29">
        <f>IF(B322&lt;&gt;"",F322-G322,"")</f>
        <v>0</v>
      </c>
    </row>
    <row r="323" spans="1:9" s="28" customFormat="1" x14ac:dyDescent="0.2">
      <c r="A323" s="32">
        <v>2</v>
      </c>
      <c r="B323" s="30" t="str">
        <f>IF(AND(B322&lt;&gt;"",B322&lt;&gt;2647973),IF(SUMIFS('RESUMEN DE PUNTOS DE VENTA'!C$7:C$145,'RESUMEN DE PUNTOS DE VENTA'!A$7:A$145,C319,'RESUMEN DE PUNTOS DE VENTA'!C$7:C$145,"2647973")=2647973,2647973,""), "")</f>
        <v/>
      </c>
      <c r="C323" s="31" t="str">
        <f>IF(B323&lt;&gt;"",UPPER(VLOOKUP(B323,CATALOGO!$A$8:$E$36,3)),"")</f>
        <v/>
      </c>
      <c r="D323" s="31" t="str">
        <f>IF(B323&lt;&gt;"",VLOOKUP(B323,CATALOGO!$A$8:$E$36,2),"")</f>
        <v/>
      </c>
      <c r="E323" s="29" t="str">
        <f>IF(B323&lt;&gt;"",VLOOKUP(B323,CATALOGO!$A$8:$E$36,5),"")</f>
        <v/>
      </c>
      <c r="F323" s="29" t="str">
        <f>IF(B323&lt;&gt;"",SUMIFS('RESUMEN DE PUNTOS DE VENTA'!G$7:G$145,'RESUMEN DE PUNTOS DE VENTA'!A$7:A$145,C319,'RESUMEN DE PUNTOS DE VENTA'!C$7:C$145,CROSSDOCKING!B323),"")</f>
        <v/>
      </c>
      <c r="G323" s="107" t="str">
        <f>IF(B323&lt;&gt;"",SUMIFS('RESUMEN DE PUNTOS DE VENTA'!H$7:H$145,'RESUMEN DE PUNTOS DE VENTA'!A$7:A$145,C319,'RESUMEN DE PUNTOS DE VENTA'!C$7:C$145,CROSSDOCKING!B323),"")</f>
        <v/>
      </c>
      <c r="H323" s="108" t="str">
        <f>IF(D323&lt;&gt;"",SUMIFS('RESUMEN DE PUNTOS DE VENTA'!#REF!,'RESUMEN DE PUNTOS DE VENTA'!#REF!,E320,'RESUMEN DE PUNTOS DE VENTA'!#REF!,CROSSDOCKING!D323),"")</f>
        <v/>
      </c>
      <c r="I323" s="29" t="str">
        <f t="shared" ref="I323:I324" si="27">IF(B323&lt;&gt;"",F323-G323,"")</f>
        <v/>
      </c>
    </row>
    <row r="324" spans="1:9" s="28" customFormat="1" x14ac:dyDescent="0.2">
      <c r="A324" s="32">
        <v>3</v>
      </c>
      <c r="B324" s="30"/>
      <c r="C324" s="31" t="str">
        <f>IF(B324&lt;&gt;"",UPPER(VLOOKUP(B324,CATALOGO!$A$8:$E$36,3)),"")</f>
        <v/>
      </c>
      <c r="D324" s="31" t="str">
        <f>IF(B324&lt;&gt;"",VLOOKUP(B324,CATALOGO!$A$8:$E$36,2),"")</f>
        <v/>
      </c>
      <c r="E324" s="29" t="str">
        <f>IF(B324&lt;&gt;"",VLOOKUP(B324,CATALOGO!$A$8:$E$36,5),"")</f>
        <v/>
      </c>
      <c r="F324" s="29" t="str">
        <f>IF(B324&lt;&gt;"",SUMIFS('RESUMEN DE PUNTOS DE VENTA'!G$7:G$145,'RESUMEN DE PUNTOS DE VENTA'!A$7:A$145,C319,'RESUMEN DE PUNTOS DE VENTA'!C$7:C$145,CROSSDOCKING!B324),"")</f>
        <v/>
      </c>
      <c r="G324" s="107" t="str">
        <f>IF(B324&lt;&gt;"",SUMIFS('RESUMEN DE PUNTOS DE VENTA'!H$7:H$145,'RESUMEN DE PUNTOS DE VENTA'!A$7:A$145,C319,'RESUMEN DE PUNTOS DE VENTA'!C$7:C$145,CROSSDOCKING!B324),"")</f>
        <v/>
      </c>
      <c r="H324" s="108" t="str">
        <f>IF(D324&lt;&gt;"",SUMIFS('RESUMEN DE PUNTOS DE VENTA'!#REF!,'RESUMEN DE PUNTOS DE VENTA'!#REF!,E321,'RESUMEN DE PUNTOS DE VENTA'!#REF!,CROSSDOCKING!D324),"")</f>
        <v/>
      </c>
      <c r="I324" s="29" t="str">
        <f t="shared" si="27"/>
        <v/>
      </c>
    </row>
    <row r="325" spans="1:9" s="28" customFormat="1" ht="15" customHeight="1" x14ac:dyDescent="0.2">
      <c r="A325" s="109" t="s">
        <v>67</v>
      </c>
      <c r="B325" s="110"/>
      <c r="C325" s="110"/>
      <c r="D325" s="110"/>
      <c r="E325" s="111"/>
      <c r="F325" s="29">
        <f>SUM(F322:F324)</f>
        <v>1</v>
      </c>
      <c r="G325" s="107">
        <f>SUM(G322:G324)</f>
        <v>1</v>
      </c>
      <c r="H325" s="108"/>
      <c r="I325" s="29">
        <f>SUM(I322:I324)</f>
        <v>0</v>
      </c>
    </row>
    <row r="326" spans="1:9" s="28" customFormat="1" ht="15" customHeight="1" x14ac:dyDescent="0.2">
      <c r="A326" s="134" t="s">
        <v>150</v>
      </c>
      <c r="B326" s="135"/>
      <c r="C326" s="52">
        <f>COUNTIF($A$1:I325, "TOTAL")</f>
        <v>28</v>
      </c>
      <c r="D326" s="135" t="s">
        <v>146</v>
      </c>
      <c r="E326" s="135"/>
      <c r="F326" s="136">
        <f>CAJAS!$C$21</f>
        <v>33</v>
      </c>
      <c r="G326" s="136"/>
      <c r="H326" s="136"/>
      <c r="I326" s="137"/>
    </row>
    <row r="327" spans="1:9" s="28" customFormat="1" ht="10" customHeight="1" thickBot="1" x14ac:dyDescent="0.25">
      <c r="A327" s="138"/>
      <c r="B327" s="138"/>
      <c r="C327" s="138"/>
      <c r="D327" s="138"/>
      <c r="E327" s="138"/>
      <c r="F327" s="138"/>
      <c r="G327" s="138"/>
      <c r="H327" s="138"/>
      <c r="I327" s="138"/>
    </row>
    <row r="328" spans="1:9" s="28" customFormat="1" ht="10" customHeight="1" thickTop="1" x14ac:dyDescent="0.2">
      <c r="A328" s="115"/>
      <c r="B328" s="115"/>
      <c r="C328" s="115"/>
      <c r="D328" s="115"/>
      <c r="E328" s="115"/>
      <c r="F328" s="115"/>
      <c r="G328" s="115"/>
      <c r="H328" s="115"/>
      <c r="I328" s="115"/>
    </row>
    <row r="329" spans="1:9" s="28" customFormat="1" ht="16" x14ac:dyDescent="0.2">
      <c r="A329" s="116" t="s">
        <v>59</v>
      </c>
      <c r="B329" s="117"/>
      <c r="C329" s="117"/>
      <c r="D329" s="117"/>
      <c r="E329" s="117"/>
      <c r="F329" s="117"/>
      <c r="G329" s="117"/>
      <c r="H329" s="117"/>
      <c r="I329" s="118"/>
    </row>
    <row r="330" spans="1:9" s="28" customFormat="1" ht="16" x14ac:dyDescent="0.2">
      <c r="A330" s="119" t="s">
        <v>60</v>
      </c>
      <c r="B330" s="120"/>
      <c r="C330" s="120"/>
      <c r="D330" s="120"/>
      <c r="E330" s="120"/>
      <c r="F330" s="120"/>
      <c r="G330" s="120"/>
      <c r="H330" s="120"/>
      <c r="I330" s="121"/>
    </row>
    <row r="331" spans="1:9" s="28" customFormat="1" ht="18.75" customHeight="1" x14ac:dyDescent="0.2">
      <c r="A331" s="122" t="s">
        <v>61</v>
      </c>
      <c r="B331" s="123"/>
      <c r="C331" s="69">
        <v>829</v>
      </c>
      <c r="D331" s="53" t="s">
        <v>244</v>
      </c>
      <c r="E331" s="124" t="str">
        <f>VLOOKUP(C331,'PUNTOS DE VENTA'!$A$1:$C$75,3)</f>
        <v>XA065</v>
      </c>
      <c r="F331" s="125"/>
      <c r="G331" s="70" t="s">
        <v>62</v>
      </c>
      <c r="H331" s="126">
        <f>'RESUMEN DE PUNTOS DE VENTA'!$C$4</f>
        <v>2900678609</v>
      </c>
      <c r="I331" s="127"/>
    </row>
    <row r="332" spans="1:9" s="28" customFormat="1" ht="18.75" customHeight="1" x14ac:dyDescent="0.2">
      <c r="A332" s="122" t="s">
        <v>63</v>
      </c>
      <c r="B332" s="123"/>
      <c r="C332" s="128" t="str">
        <f>UPPER(VLOOKUP(C331,'PUNTOS DE VENTA'!$A$1:$B$75,2))</f>
        <v>WALMART PEREZ ZELEDON</v>
      </c>
      <c r="D332" s="128"/>
      <c r="E332" s="128"/>
      <c r="F332" s="128"/>
      <c r="G332" s="128"/>
      <c r="H332" s="128"/>
      <c r="I332" s="129"/>
    </row>
    <row r="333" spans="1:9" s="28" customFormat="1" ht="22.5" customHeight="1" x14ac:dyDescent="0.2">
      <c r="A333" s="130" t="s">
        <v>7</v>
      </c>
      <c r="B333" s="131"/>
      <c r="C333" s="71" t="s">
        <v>28</v>
      </c>
      <c r="D333" s="72" t="s">
        <v>11</v>
      </c>
      <c r="E333" s="72" t="s">
        <v>8</v>
      </c>
      <c r="F333" s="73" t="s">
        <v>64</v>
      </c>
      <c r="G333" s="132" t="s">
        <v>65</v>
      </c>
      <c r="H333" s="133"/>
      <c r="I333" s="74" t="s">
        <v>66</v>
      </c>
    </row>
    <row r="334" spans="1:9" s="28" customFormat="1" x14ac:dyDescent="0.2">
      <c r="A334" s="32">
        <v>1</v>
      </c>
      <c r="B334" s="30">
        <f>IF(SUMIFS('RESUMEN DE PUNTOS DE VENTA'!C$7:C$145,'RESUMEN DE PUNTOS DE VENTA'!A$7:A$145,C331,'RESUMEN DE PUNTOS DE VENTA'!C$7:C$145,"2645516") = 2645516, 2645516, IF(SUMIFS('RESUMEN DE PUNTOS DE VENTA'!C$7:C$145,'RESUMEN DE PUNTOS DE VENTA'!A$7:A$145,C331,'RESUMEN DE PUNTOS DE VENTA'!C$7:C$145,"2647973") = 2647973, 2647973, ""))</f>
        <v>2647973</v>
      </c>
      <c r="C334" s="31" t="str">
        <f>IF(B334&lt;&gt;"",UPPER(VLOOKUP(B334,CATALOGO!$A$8:$E$36,3)),"")</f>
        <v>ALMOHADA BEBE SENCILLA ESTAMPADA</v>
      </c>
      <c r="D334" s="31">
        <f>IF(B334&lt;&gt;"",VLOOKUP(B334,CATALOGO!$A$8:$E$36,2),"")</f>
        <v>7441119600768</v>
      </c>
      <c r="E334" s="29">
        <f>IF(B334&lt;&gt;"",VLOOKUP(B334,CATALOGO!$A$8:$E$36,5),"")</f>
        <v>3</v>
      </c>
      <c r="F334" s="29">
        <f>IF(B334&lt;&gt;"",SUMIFS('RESUMEN DE PUNTOS DE VENTA'!G$7:G$145,'RESUMEN DE PUNTOS DE VENTA'!A$7:A$145,C331,'RESUMEN DE PUNTOS DE VENTA'!C$7:C$145,CROSSDOCKING!B334),"")</f>
        <v>4</v>
      </c>
      <c r="G334" s="107">
        <f>IF(B334&lt;&gt;"",SUMIFS('RESUMEN DE PUNTOS DE VENTA'!H$7:H$145,'RESUMEN DE PUNTOS DE VENTA'!A$7:A$145,C331,'RESUMEN DE PUNTOS DE VENTA'!C$7:C$145,CROSSDOCKING!B334),"")</f>
        <v>4</v>
      </c>
      <c r="H334" s="108" t="e">
        <f>IF(D334&lt;&gt;"",SUMIFS('RESUMEN DE PUNTOS DE VENTA'!#REF!,'RESUMEN DE PUNTOS DE VENTA'!#REF!,E331,'RESUMEN DE PUNTOS DE VENTA'!#REF!,CROSSDOCKING!D334),"")</f>
        <v>#REF!</v>
      </c>
      <c r="I334" s="29">
        <f>IF(B334&lt;&gt;"",F334-G334,"")</f>
        <v>0</v>
      </c>
    </row>
    <row r="335" spans="1:9" s="28" customFormat="1" x14ac:dyDescent="0.2">
      <c r="A335" s="32">
        <v>2</v>
      </c>
      <c r="B335" s="30" t="str">
        <f>IF(AND(B334&lt;&gt;"",B334&lt;&gt;2647973),IF(SUMIFS('RESUMEN DE PUNTOS DE VENTA'!C$7:C$145,'RESUMEN DE PUNTOS DE VENTA'!A$7:A$145,C331,'RESUMEN DE PUNTOS DE VENTA'!C$7:C$145,"2647973")=2647973,2647973,""), "")</f>
        <v/>
      </c>
      <c r="C335" s="31" t="str">
        <f>IF(B335&lt;&gt;"",UPPER(VLOOKUP(B335,CATALOGO!$A$8:$E$36,3)),"")</f>
        <v/>
      </c>
      <c r="D335" s="31" t="str">
        <f>IF(B335&lt;&gt;"",VLOOKUP(B335,CATALOGO!$A$8:$E$36,2),"")</f>
        <v/>
      </c>
      <c r="E335" s="29" t="str">
        <f>IF(B335&lt;&gt;"",VLOOKUP(B335,CATALOGO!$A$8:$E$36,5),"")</f>
        <v/>
      </c>
      <c r="F335" s="29" t="str">
        <f>IF(B335&lt;&gt;"",SUMIFS('RESUMEN DE PUNTOS DE VENTA'!G$7:G$145,'RESUMEN DE PUNTOS DE VENTA'!A$7:A$145,C331,'RESUMEN DE PUNTOS DE VENTA'!C$7:C$145,CROSSDOCKING!B335),"")</f>
        <v/>
      </c>
      <c r="G335" s="107" t="str">
        <f>IF(B335&lt;&gt;"",SUMIFS('RESUMEN DE PUNTOS DE VENTA'!H$7:H$145,'RESUMEN DE PUNTOS DE VENTA'!A$7:A$145,C331,'RESUMEN DE PUNTOS DE VENTA'!C$7:C$145,CROSSDOCKING!B335),"")</f>
        <v/>
      </c>
      <c r="H335" s="108" t="str">
        <f>IF(D335&lt;&gt;"",SUMIFS('RESUMEN DE PUNTOS DE VENTA'!#REF!,'RESUMEN DE PUNTOS DE VENTA'!#REF!,E332,'RESUMEN DE PUNTOS DE VENTA'!#REF!,CROSSDOCKING!D335),"")</f>
        <v/>
      </c>
      <c r="I335" s="29" t="str">
        <f t="shared" ref="I335:I336" si="28">IF(B335&lt;&gt;"",F335-G335,"")</f>
        <v/>
      </c>
    </row>
    <row r="336" spans="1:9" s="28" customFormat="1" x14ac:dyDescent="0.2">
      <c r="A336" s="32">
        <v>3</v>
      </c>
      <c r="B336" s="30"/>
      <c r="C336" s="31" t="str">
        <f>IF(B336&lt;&gt;"",UPPER(VLOOKUP(B336,CATALOGO!$A$8:$E$36,3)),"")</f>
        <v/>
      </c>
      <c r="D336" s="31" t="str">
        <f>IF(B336&lt;&gt;"",VLOOKUP(B336,CATALOGO!$A$8:$E$36,2),"")</f>
        <v/>
      </c>
      <c r="E336" s="29" t="str">
        <f>IF(B336&lt;&gt;"",VLOOKUP(B336,CATALOGO!$A$8:$E$36,5),"")</f>
        <v/>
      </c>
      <c r="F336" s="29" t="str">
        <f>IF(B336&lt;&gt;"",SUMIFS('RESUMEN DE PUNTOS DE VENTA'!G$7:G$145,'RESUMEN DE PUNTOS DE VENTA'!A$7:A$145,C331,'RESUMEN DE PUNTOS DE VENTA'!C$7:C$145,CROSSDOCKING!B336),"")</f>
        <v/>
      </c>
      <c r="G336" s="107" t="str">
        <f>IF(B336&lt;&gt;"",SUMIFS('RESUMEN DE PUNTOS DE VENTA'!H$7:H$145,'RESUMEN DE PUNTOS DE VENTA'!A$7:A$145,C331,'RESUMEN DE PUNTOS DE VENTA'!C$7:C$145,CROSSDOCKING!B336),"")</f>
        <v/>
      </c>
      <c r="H336" s="108" t="str">
        <f>IF(D336&lt;&gt;"",SUMIFS('RESUMEN DE PUNTOS DE VENTA'!#REF!,'RESUMEN DE PUNTOS DE VENTA'!#REF!,E333,'RESUMEN DE PUNTOS DE VENTA'!#REF!,CROSSDOCKING!D336),"")</f>
        <v/>
      </c>
      <c r="I336" s="29" t="str">
        <f t="shared" si="28"/>
        <v/>
      </c>
    </row>
    <row r="337" spans="1:9" s="28" customFormat="1" x14ac:dyDescent="0.2">
      <c r="A337" s="109" t="s">
        <v>67</v>
      </c>
      <c r="B337" s="110"/>
      <c r="C337" s="110"/>
      <c r="D337" s="110"/>
      <c r="E337" s="111"/>
      <c r="F337" s="29">
        <f>SUM(F334:F336)</f>
        <v>4</v>
      </c>
      <c r="G337" s="107">
        <f>SUM(G334:G336)</f>
        <v>4</v>
      </c>
      <c r="H337" s="108"/>
      <c r="I337" s="29">
        <f>SUM(I334:I336)</f>
        <v>0</v>
      </c>
    </row>
    <row r="338" spans="1:9" s="28" customFormat="1" ht="15" customHeight="1" x14ac:dyDescent="0.2">
      <c r="A338" s="134" t="s">
        <v>150</v>
      </c>
      <c r="B338" s="135"/>
      <c r="C338" s="52">
        <f>COUNTIF($A$1:I337, "TOTAL")</f>
        <v>29</v>
      </c>
      <c r="D338" s="135" t="s">
        <v>146</v>
      </c>
      <c r="E338" s="135"/>
      <c r="F338" s="136">
        <f>CAJAS!$C$21</f>
        <v>33</v>
      </c>
      <c r="G338" s="136"/>
      <c r="H338" s="136"/>
      <c r="I338" s="137"/>
    </row>
    <row r="339" spans="1:9" s="28" customFormat="1" ht="10" customHeight="1" thickBot="1" x14ac:dyDescent="0.25">
      <c r="A339" s="138"/>
      <c r="B339" s="138"/>
      <c r="C339" s="138"/>
      <c r="D339" s="138"/>
      <c r="E339" s="138"/>
      <c r="F339" s="138"/>
      <c r="G339" s="138"/>
      <c r="H339" s="138"/>
      <c r="I339" s="138"/>
    </row>
    <row r="340" spans="1:9" s="28" customFormat="1" ht="10" customHeight="1" thickTop="1" x14ac:dyDescent="0.2">
      <c r="A340" s="115"/>
      <c r="B340" s="115"/>
      <c r="C340" s="115"/>
      <c r="D340" s="115"/>
      <c r="E340" s="115"/>
      <c r="F340" s="115"/>
      <c r="G340" s="115"/>
      <c r="H340" s="115"/>
      <c r="I340" s="115"/>
    </row>
    <row r="341" spans="1:9" s="28" customFormat="1" ht="16" x14ac:dyDescent="0.2">
      <c r="A341" s="116" t="s">
        <v>59</v>
      </c>
      <c r="B341" s="117"/>
      <c r="C341" s="117"/>
      <c r="D341" s="117"/>
      <c r="E341" s="117"/>
      <c r="F341" s="117"/>
      <c r="G341" s="117"/>
      <c r="H341" s="117"/>
      <c r="I341" s="118"/>
    </row>
    <row r="342" spans="1:9" s="28" customFormat="1" ht="16" x14ac:dyDescent="0.2">
      <c r="A342" s="119" t="s">
        <v>60</v>
      </c>
      <c r="B342" s="120"/>
      <c r="C342" s="120"/>
      <c r="D342" s="120"/>
      <c r="E342" s="120"/>
      <c r="F342" s="120"/>
      <c r="G342" s="120"/>
      <c r="H342" s="120"/>
      <c r="I342" s="121"/>
    </row>
    <row r="343" spans="1:9" s="28" customFormat="1" ht="18.75" customHeight="1" x14ac:dyDescent="0.2">
      <c r="A343" s="122" t="s">
        <v>61</v>
      </c>
      <c r="B343" s="123"/>
      <c r="C343" s="69">
        <v>831</v>
      </c>
      <c r="D343" s="53" t="s">
        <v>244</v>
      </c>
      <c r="E343" s="124" t="str">
        <f>VLOOKUP(C343,'PUNTOS DE VENTA'!$A$1:$C$75,3)</f>
        <v>XA327</v>
      </c>
      <c r="F343" s="125"/>
      <c r="G343" s="70" t="s">
        <v>62</v>
      </c>
      <c r="H343" s="126">
        <f>'RESUMEN DE PUNTOS DE VENTA'!$C$4</f>
        <v>2900678609</v>
      </c>
      <c r="I343" s="127"/>
    </row>
    <row r="344" spans="1:9" s="28" customFormat="1" ht="18.75" customHeight="1" x14ac:dyDescent="0.2">
      <c r="A344" s="122" t="s">
        <v>63</v>
      </c>
      <c r="B344" s="123"/>
      <c r="C344" s="128" t="str">
        <f>UPPER(VLOOKUP(C343,'PUNTOS DE VENTA'!$A$1:$B$75,2))</f>
        <v>WALMART HEREDIA ESTE</v>
      </c>
      <c r="D344" s="128"/>
      <c r="E344" s="128"/>
      <c r="F344" s="128"/>
      <c r="G344" s="128"/>
      <c r="H344" s="128"/>
      <c r="I344" s="129"/>
    </row>
    <row r="345" spans="1:9" s="28" customFormat="1" ht="22.5" customHeight="1" x14ac:dyDescent="0.2">
      <c r="A345" s="130" t="s">
        <v>7</v>
      </c>
      <c r="B345" s="131"/>
      <c r="C345" s="71" t="s">
        <v>28</v>
      </c>
      <c r="D345" s="72" t="s">
        <v>11</v>
      </c>
      <c r="E345" s="72" t="s">
        <v>8</v>
      </c>
      <c r="F345" s="73" t="s">
        <v>64</v>
      </c>
      <c r="G345" s="132" t="s">
        <v>65</v>
      </c>
      <c r="H345" s="133"/>
      <c r="I345" s="74" t="s">
        <v>66</v>
      </c>
    </row>
    <row r="346" spans="1:9" s="28" customFormat="1" x14ac:dyDescent="0.2">
      <c r="A346" s="32">
        <v>1</v>
      </c>
      <c r="B346" s="30">
        <f>IF(SUMIFS('RESUMEN DE PUNTOS DE VENTA'!C$7:C$145,'RESUMEN DE PUNTOS DE VENTA'!A$7:A$145,C343,'RESUMEN DE PUNTOS DE VENTA'!C$7:C$145,"2645516") = 2645516, 2645516, IF(SUMIFS('RESUMEN DE PUNTOS DE VENTA'!C$7:C$145,'RESUMEN DE PUNTOS DE VENTA'!A$7:A$145,C343,'RESUMEN DE PUNTOS DE VENTA'!C$7:C$145,"2647973") = 2647973, 2647973, ""))</f>
        <v>2647973</v>
      </c>
      <c r="C346" s="31" t="str">
        <f>IF(B346&lt;&gt;"",UPPER(VLOOKUP(B346,CATALOGO!$A$8:$E$36,3)),"")</f>
        <v>ALMOHADA BEBE SENCILLA ESTAMPADA</v>
      </c>
      <c r="D346" s="31">
        <f>IF(B346&lt;&gt;"",VLOOKUP(B346,CATALOGO!$A$8:$E$36,2),"")</f>
        <v>7441119600768</v>
      </c>
      <c r="E346" s="29">
        <f>IF(B346&lt;&gt;"",VLOOKUP(B346,CATALOGO!$A$8:$E$36,5),"")</f>
        <v>3</v>
      </c>
      <c r="F346" s="29">
        <f>IF(B346&lt;&gt;"",SUMIFS('RESUMEN DE PUNTOS DE VENTA'!G$7:G$145,'RESUMEN DE PUNTOS DE VENTA'!A$7:A$145,C343,'RESUMEN DE PUNTOS DE VENTA'!C$7:C$145,CROSSDOCKING!B346),"")</f>
        <v>1</v>
      </c>
      <c r="G346" s="107">
        <f>IF(B346&lt;&gt;"",SUMIFS('RESUMEN DE PUNTOS DE VENTA'!H$7:H$145,'RESUMEN DE PUNTOS DE VENTA'!A$7:A$145,C343,'RESUMEN DE PUNTOS DE VENTA'!C$7:C$145,CROSSDOCKING!B346),"")</f>
        <v>1</v>
      </c>
      <c r="H346" s="108" t="e">
        <f>IF(D346&lt;&gt;"",SUMIFS('RESUMEN DE PUNTOS DE VENTA'!#REF!,'RESUMEN DE PUNTOS DE VENTA'!#REF!,E343,'RESUMEN DE PUNTOS DE VENTA'!#REF!,CROSSDOCKING!D346),"")</f>
        <v>#REF!</v>
      </c>
      <c r="I346" s="29">
        <f>IF(B346&lt;&gt;"",F346-G346,"")</f>
        <v>0</v>
      </c>
    </row>
    <row r="347" spans="1:9" s="28" customFormat="1" x14ac:dyDescent="0.2">
      <c r="A347" s="32">
        <v>2</v>
      </c>
      <c r="B347" s="30" t="str">
        <f>IF(AND(B346&lt;&gt;"",B346&lt;&gt;2647973),IF(SUMIFS('RESUMEN DE PUNTOS DE VENTA'!C$7:C$145,'RESUMEN DE PUNTOS DE VENTA'!A$7:A$145,C343,'RESUMEN DE PUNTOS DE VENTA'!C$7:C$145,"2647973")=2647973,2647973,""), "")</f>
        <v/>
      </c>
      <c r="C347" s="31" t="str">
        <f>IF(B347&lt;&gt;"",UPPER(VLOOKUP(B347,CATALOGO!$A$8:$E$36,3)),"")</f>
        <v/>
      </c>
      <c r="D347" s="31" t="str">
        <f>IF(B347&lt;&gt;"",VLOOKUP(B347,CATALOGO!$A$8:$E$36,2),"")</f>
        <v/>
      </c>
      <c r="E347" s="29" t="str">
        <f>IF(B347&lt;&gt;"",VLOOKUP(B347,CATALOGO!$A$8:$E$36,5),"")</f>
        <v/>
      </c>
      <c r="F347" s="29" t="str">
        <f>IF(B347&lt;&gt;"",SUMIFS('RESUMEN DE PUNTOS DE VENTA'!G$7:G$145,'RESUMEN DE PUNTOS DE VENTA'!A$7:A$145,C343,'RESUMEN DE PUNTOS DE VENTA'!C$7:C$145,CROSSDOCKING!B347),"")</f>
        <v/>
      </c>
      <c r="G347" s="107" t="str">
        <f>IF(B347&lt;&gt;"",SUMIFS('RESUMEN DE PUNTOS DE VENTA'!H$7:H$145,'RESUMEN DE PUNTOS DE VENTA'!A$7:A$145,C343,'RESUMEN DE PUNTOS DE VENTA'!C$7:C$145,CROSSDOCKING!B347),"")</f>
        <v/>
      </c>
      <c r="H347" s="108" t="str">
        <f>IF(D347&lt;&gt;"",SUMIFS('RESUMEN DE PUNTOS DE VENTA'!#REF!,'RESUMEN DE PUNTOS DE VENTA'!#REF!,E344,'RESUMEN DE PUNTOS DE VENTA'!#REF!,CROSSDOCKING!D347),"")</f>
        <v/>
      </c>
      <c r="I347" s="29" t="str">
        <f t="shared" ref="I347:I348" si="29">IF(B347&lt;&gt;"",F347-G347,"")</f>
        <v/>
      </c>
    </row>
    <row r="348" spans="1:9" s="28" customFormat="1" x14ac:dyDescent="0.2">
      <c r="A348" s="32">
        <v>3</v>
      </c>
      <c r="B348" s="30"/>
      <c r="C348" s="31" t="str">
        <f>IF(B348&lt;&gt;"",UPPER(VLOOKUP(B348,CATALOGO!$A$8:$E$36,3)),"")</f>
        <v/>
      </c>
      <c r="D348" s="31" t="str">
        <f>IF(B348&lt;&gt;"",VLOOKUP(B348,CATALOGO!$A$8:$E$36,2),"")</f>
        <v/>
      </c>
      <c r="E348" s="29" t="str">
        <f>IF(B348&lt;&gt;"",VLOOKUP(B348,CATALOGO!$A$8:$E$36,5),"")</f>
        <v/>
      </c>
      <c r="F348" s="29" t="str">
        <f>IF(B348&lt;&gt;"",SUMIFS('RESUMEN DE PUNTOS DE VENTA'!G$7:G$145,'RESUMEN DE PUNTOS DE VENTA'!A$7:A$145,C343,'RESUMEN DE PUNTOS DE VENTA'!C$7:C$145,CROSSDOCKING!B348),"")</f>
        <v/>
      </c>
      <c r="G348" s="107" t="str">
        <f>IF(B348&lt;&gt;"",SUMIFS('RESUMEN DE PUNTOS DE VENTA'!H$7:H$145,'RESUMEN DE PUNTOS DE VENTA'!A$7:A$145,C343,'RESUMEN DE PUNTOS DE VENTA'!C$7:C$145,CROSSDOCKING!B348),"")</f>
        <v/>
      </c>
      <c r="H348" s="108" t="str">
        <f>IF(D348&lt;&gt;"",SUMIFS('RESUMEN DE PUNTOS DE VENTA'!#REF!,'RESUMEN DE PUNTOS DE VENTA'!#REF!,E345,'RESUMEN DE PUNTOS DE VENTA'!#REF!,CROSSDOCKING!D348),"")</f>
        <v/>
      </c>
      <c r="I348" s="29" t="str">
        <f t="shared" si="29"/>
        <v/>
      </c>
    </row>
    <row r="349" spans="1:9" s="28" customFormat="1" ht="15" customHeight="1" x14ac:dyDescent="0.2">
      <c r="A349" s="109" t="s">
        <v>67</v>
      </c>
      <c r="B349" s="110"/>
      <c r="C349" s="110"/>
      <c r="D349" s="110"/>
      <c r="E349" s="111"/>
      <c r="F349" s="29">
        <f>SUM(F346:F348)</f>
        <v>1</v>
      </c>
      <c r="G349" s="107">
        <f>SUM(G346:G348)</f>
        <v>1</v>
      </c>
      <c r="H349" s="108"/>
      <c r="I349" s="29">
        <f>SUM(I346:I348)</f>
        <v>0</v>
      </c>
    </row>
    <row r="350" spans="1:9" s="28" customFormat="1" ht="15" customHeight="1" x14ac:dyDescent="0.2">
      <c r="A350" s="107" t="s">
        <v>150</v>
      </c>
      <c r="B350" s="112"/>
      <c r="C350" s="54">
        <f>COUNTIF($A$1:I349, "TOTAL")</f>
        <v>30</v>
      </c>
      <c r="D350" s="112" t="s">
        <v>146</v>
      </c>
      <c r="E350" s="112"/>
      <c r="F350" s="113">
        <f>CAJAS!$C$21</f>
        <v>33</v>
      </c>
      <c r="G350" s="113"/>
      <c r="H350" s="113"/>
      <c r="I350" s="114"/>
    </row>
    <row r="351" spans="1:9" s="28" customFormat="1" ht="16" x14ac:dyDescent="0.2">
      <c r="A351" s="116" t="s">
        <v>59</v>
      </c>
      <c r="B351" s="117"/>
      <c r="C351" s="117"/>
      <c r="D351" s="117"/>
      <c r="E351" s="117"/>
      <c r="F351" s="117"/>
      <c r="G351" s="117"/>
      <c r="H351" s="117"/>
      <c r="I351" s="118"/>
    </row>
    <row r="352" spans="1:9" s="28" customFormat="1" ht="16" x14ac:dyDescent="0.2">
      <c r="A352" s="119" t="s">
        <v>60</v>
      </c>
      <c r="B352" s="120"/>
      <c r="C352" s="120"/>
      <c r="D352" s="120"/>
      <c r="E352" s="120"/>
      <c r="F352" s="120"/>
      <c r="G352" s="120"/>
      <c r="H352" s="120"/>
      <c r="I352" s="121"/>
    </row>
    <row r="353" spans="1:9" s="28" customFormat="1" ht="18.75" customHeight="1" x14ac:dyDescent="0.2">
      <c r="A353" s="122" t="s">
        <v>61</v>
      </c>
      <c r="B353" s="123"/>
      <c r="C353" s="69">
        <v>930</v>
      </c>
      <c r="D353" s="53" t="s">
        <v>244</v>
      </c>
      <c r="E353" s="124" t="str">
        <f>VLOOKUP(C353,'PUNTOS DE VENTA'!$A$1:$C$75,3)</f>
        <v>XA268</v>
      </c>
      <c r="F353" s="125"/>
      <c r="G353" s="70" t="s">
        <v>62</v>
      </c>
      <c r="H353" s="126">
        <f>'RESUMEN DE PUNTOS DE VENTA'!$C$4</f>
        <v>2900678609</v>
      </c>
      <c r="I353" s="127"/>
    </row>
    <row r="354" spans="1:9" s="28" customFormat="1" ht="18.75" customHeight="1" x14ac:dyDescent="0.2">
      <c r="A354" s="122" t="s">
        <v>63</v>
      </c>
      <c r="B354" s="123"/>
      <c r="C354" s="128" t="str">
        <f>UPPER(VLOOKUP(C353,'PUNTOS DE VENTA'!$A$1:$B$75,2))</f>
        <v>MAXI LOS GUIDO</v>
      </c>
      <c r="D354" s="128"/>
      <c r="E354" s="128"/>
      <c r="F354" s="128"/>
      <c r="G354" s="128"/>
      <c r="H354" s="128"/>
      <c r="I354" s="129"/>
    </row>
    <row r="355" spans="1:9" s="28" customFormat="1" ht="22.5" customHeight="1" x14ac:dyDescent="0.2">
      <c r="A355" s="130" t="s">
        <v>7</v>
      </c>
      <c r="B355" s="131"/>
      <c r="C355" s="71" t="s">
        <v>28</v>
      </c>
      <c r="D355" s="72" t="s">
        <v>11</v>
      </c>
      <c r="E355" s="72" t="s">
        <v>8</v>
      </c>
      <c r="F355" s="73" t="s">
        <v>64</v>
      </c>
      <c r="G355" s="132" t="s">
        <v>65</v>
      </c>
      <c r="H355" s="133"/>
      <c r="I355" s="74" t="s">
        <v>66</v>
      </c>
    </row>
    <row r="356" spans="1:9" s="28" customFormat="1" x14ac:dyDescent="0.2">
      <c r="A356" s="32">
        <v>1</v>
      </c>
      <c r="B356" s="30">
        <f>IF(SUMIFS('RESUMEN DE PUNTOS DE VENTA'!C$7:C$145,'RESUMEN DE PUNTOS DE VENTA'!A$7:A$145,C353,'RESUMEN DE PUNTOS DE VENTA'!C$7:C$145,"2645516") = 2645516, 2645516, IF(SUMIFS('RESUMEN DE PUNTOS DE VENTA'!C$7:C$145,'RESUMEN DE PUNTOS DE VENTA'!A$7:A$145,C353,'RESUMEN DE PUNTOS DE VENTA'!C$7:C$145,"2647973") = 2647973, 2647973, ""))</f>
        <v>2645516</v>
      </c>
      <c r="C356" s="31" t="str">
        <f>IF(B356&lt;&gt;"",UPPER(VLOOKUP(B356,CATALOGO!$A$8:$E$36,3)),"")</f>
        <v>ALMOHADA Y FUNDA BEBE COLORES SURTIDOS DOCOMA</v>
      </c>
      <c r="D356" s="31">
        <f>IF(B356&lt;&gt;"",VLOOKUP(B356,CATALOGO!$A$8:$E$36,2),"")</f>
        <v>7441119600652</v>
      </c>
      <c r="E356" s="29">
        <f>IF(B356&lt;&gt;"",VLOOKUP(B356,CATALOGO!$A$8:$E$36,5),"")</f>
        <v>3</v>
      </c>
      <c r="F356" s="29">
        <f>IF(B356&lt;&gt;"",SUMIFS('RESUMEN DE PUNTOS DE VENTA'!G$7:G$145,'RESUMEN DE PUNTOS DE VENTA'!A$7:A$145,C353,'RESUMEN DE PUNTOS DE VENTA'!C$7:C$145,CROSSDOCKING!B356),"")</f>
        <v>2</v>
      </c>
      <c r="G356" s="107">
        <f>IF(B356&lt;&gt;"",SUMIFS('RESUMEN DE PUNTOS DE VENTA'!H$7:H$145,'RESUMEN DE PUNTOS DE VENTA'!A$7:A$145,C353,'RESUMEN DE PUNTOS DE VENTA'!C$7:C$145,CROSSDOCKING!B356),"")</f>
        <v>1</v>
      </c>
      <c r="H356" s="108" t="e">
        <f>IF(D356&lt;&gt;"",SUMIFS('RESUMEN DE PUNTOS DE VENTA'!#REF!,'RESUMEN DE PUNTOS DE VENTA'!#REF!,E353,'RESUMEN DE PUNTOS DE VENTA'!#REF!,CROSSDOCKING!D356),"")</f>
        <v>#REF!</v>
      </c>
      <c r="I356" s="29">
        <f>IF(B356&lt;&gt;"",F356-G356,"")</f>
        <v>1</v>
      </c>
    </row>
    <row r="357" spans="1:9" s="28" customFormat="1" x14ac:dyDescent="0.2">
      <c r="A357" s="32">
        <v>2</v>
      </c>
      <c r="B357" s="30" t="str">
        <f>IF(AND(B356&lt;&gt;"",B356&lt;&gt;2647973),IF(SUMIFS('RESUMEN DE PUNTOS DE VENTA'!C$7:C$145,'RESUMEN DE PUNTOS DE VENTA'!A$7:A$145,C353,'RESUMEN DE PUNTOS DE VENTA'!C$7:C$145,"2647973")=2647973,2647973,""), "")</f>
        <v/>
      </c>
      <c r="C357" s="31" t="str">
        <f>IF(B357&lt;&gt;"",UPPER(VLOOKUP(B357,CATALOGO!$A$8:$E$36,3)),"")</f>
        <v/>
      </c>
      <c r="D357" s="31" t="str">
        <f>IF(B357&lt;&gt;"",VLOOKUP(B357,CATALOGO!$A$8:$E$36,2),"")</f>
        <v/>
      </c>
      <c r="E357" s="29" t="str">
        <f>IF(B357&lt;&gt;"",VLOOKUP(B357,CATALOGO!$A$8:$E$36,5),"")</f>
        <v/>
      </c>
      <c r="F357" s="29" t="str">
        <f>IF(B357&lt;&gt;"",SUMIFS('RESUMEN DE PUNTOS DE VENTA'!G$7:G$145,'RESUMEN DE PUNTOS DE VENTA'!A$7:A$145,C353,'RESUMEN DE PUNTOS DE VENTA'!C$7:C$145,CROSSDOCKING!B357),"")</f>
        <v/>
      </c>
      <c r="G357" s="107" t="str">
        <f>IF(B357&lt;&gt;"",SUMIFS('RESUMEN DE PUNTOS DE VENTA'!H$7:H$145,'RESUMEN DE PUNTOS DE VENTA'!A$7:A$145,C353,'RESUMEN DE PUNTOS DE VENTA'!C$7:C$145,CROSSDOCKING!B357),"")</f>
        <v/>
      </c>
      <c r="H357" s="108" t="str">
        <f>IF(D357&lt;&gt;"",SUMIFS('RESUMEN DE PUNTOS DE VENTA'!#REF!,'RESUMEN DE PUNTOS DE VENTA'!#REF!,E354,'RESUMEN DE PUNTOS DE VENTA'!#REF!,CROSSDOCKING!D357),"")</f>
        <v/>
      </c>
      <c r="I357" s="29" t="str">
        <f t="shared" ref="I357:I358" si="30">IF(B357&lt;&gt;"",F357-G357,"")</f>
        <v/>
      </c>
    </row>
    <row r="358" spans="1:9" s="28" customFormat="1" x14ac:dyDescent="0.2">
      <c r="A358" s="32">
        <v>3</v>
      </c>
      <c r="B358" s="30"/>
      <c r="C358" s="31" t="str">
        <f>IF(B358&lt;&gt;"",UPPER(VLOOKUP(B358,CATALOGO!$A$8:$E$36,3)),"")</f>
        <v/>
      </c>
      <c r="D358" s="31" t="str">
        <f>IF(B358&lt;&gt;"",VLOOKUP(B358,CATALOGO!$A$8:$E$36,2),"")</f>
        <v/>
      </c>
      <c r="E358" s="29" t="str">
        <f>IF(B358&lt;&gt;"",VLOOKUP(B358,CATALOGO!$A$8:$E$36,5),"")</f>
        <v/>
      </c>
      <c r="F358" s="29" t="str">
        <f>IF(B358&lt;&gt;"",SUMIFS('RESUMEN DE PUNTOS DE VENTA'!G$7:G$145,'RESUMEN DE PUNTOS DE VENTA'!A$7:A$145,C353,'RESUMEN DE PUNTOS DE VENTA'!C$7:C$145,CROSSDOCKING!B358),"")</f>
        <v/>
      </c>
      <c r="G358" s="107" t="str">
        <f>IF(B358&lt;&gt;"",SUMIFS('RESUMEN DE PUNTOS DE VENTA'!H$7:H$145,'RESUMEN DE PUNTOS DE VENTA'!A$7:A$145,C353,'RESUMEN DE PUNTOS DE VENTA'!C$7:C$145,CROSSDOCKING!B358),"")</f>
        <v/>
      </c>
      <c r="H358" s="108" t="str">
        <f>IF(D358&lt;&gt;"",SUMIFS('RESUMEN DE PUNTOS DE VENTA'!#REF!,'RESUMEN DE PUNTOS DE VENTA'!#REF!,E355,'RESUMEN DE PUNTOS DE VENTA'!#REF!,CROSSDOCKING!D358),"")</f>
        <v/>
      </c>
      <c r="I358" s="29" t="str">
        <f t="shared" si="30"/>
        <v/>
      </c>
    </row>
    <row r="359" spans="1:9" s="28" customFormat="1" ht="15" customHeight="1" x14ac:dyDescent="0.2">
      <c r="A359" s="109" t="s">
        <v>67</v>
      </c>
      <c r="B359" s="110"/>
      <c r="C359" s="110"/>
      <c r="D359" s="110"/>
      <c r="E359" s="111"/>
      <c r="F359" s="29">
        <f>SUM(F356:F358)</f>
        <v>2</v>
      </c>
      <c r="G359" s="107">
        <f>SUM(G356:G358)</f>
        <v>1</v>
      </c>
      <c r="H359" s="108"/>
      <c r="I359" s="29">
        <f>SUM(I356:I358)</f>
        <v>1</v>
      </c>
    </row>
    <row r="360" spans="1:9" s="28" customFormat="1" ht="15" customHeight="1" x14ac:dyDescent="0.2">
      <c r="A360" s="134" t="s">
        <v>150</v>
      </c>
      <c r="B360" s="135"/>
      <c r="C360" s="52">
        <f>COUNTIF($A$1:I359, "TOTAL")</f>
        <v>31</v>
      </c>
      <c r="D360" s="135" t="s">
        <v>146</v>
      </c>
      <c r="E360" s="135"/>
      <c r="F360" s="136">
        <f>CAJAS!$C$21</f>
        <v>33</v>
      </c>
      <c r="G360" s="136"/>
      <c r="H360" s="136"/>
      <c r="I360" s="137"/>
    </row>
    <row r="361" spans="1:9" s="28" customFormat="1" ht="10" customHeight="1" thickBot="1" x14ac:dyDescent="0.25">
      <c r="A361" s="138"/>
      <c r="B361" s="138"/>
      <c r="C361" s="138"/>
      <c r="D361" s="138"/>
      <c r="E361" s="138"/>
      <c r="F361" s="138"/>
      <c r="G361" s="138"/>
      <c r="H361" s="138"/>
      <c r="I361" s="138"/>
    </row>
    <row r="362" spans="1:9" s="28" customFormat="1" ht="10" customHeight="1" thickTop="1" x14ac:dyDescent="0.2">
      <c r="A362" s="115"/>
      <c r="B362" s="115"/>
      <c r="C362" s="115"/>
      <c r="D362" s="115"/>
      <c r="E362" s="115"/>
      <c r="F362" s="115"/>
      <c r="G362" s="115"/>
      <c r="H362" s="115"/>
      <c r="I362" s="115"/>
    </row>
    <row r="363" spans="1:9" s="28" customFormat="1" ht="16" x14ac:dyDescent="0.2">
      <c r="A363" s="116" t="s">
        <v>59</v>
      </c>
      <c r="B363" s="117"/>
      <c r="C363" s="117"/>
      <c r="D363" s="117"/>
      <c r="E363" s="117"/>
      <c r="F363" s="117"/>
      <c r="G363" s="117"/>
      <c r="H363" s="117"/>
      <c r="I363" s="118"/>
    </row>
    <row r="364" spans="1:9" s="28" customFormat="1" ht="16" x14ac:dyDescent="0.2">
      <c r="A364" s="119" t="s">
        <v>60</v>
      </c>
      <c r="B364" s="120"/>
      <c r="C364" s="120"/>
      <c r="D364" s="120"/>
      <c r="E364" s="120"/>
      <c r="F364" s="120"/>
      <c r="G364" s="120"/>
      <c r="H364" s="120"/>
      <c r="I364" s="121"/>
    </row>
    <row r="365" spans="1:9" s="28" customFormat="1" ht="18.75" customHeight="1" x14ac:dyDescent="0.2">
      <c r="A365" s="122" t="s">
        <v>61</v>
      </c>
      <c r="B365" s="123"/>
      <c r="C365" s="69">
        <v>965</v>
      </c>
      <c r="D365" s="53" t="s">
        <v>244</v>
      </c>
      <c r="E365" s="124" t="str">
        <f>VLOOKUP(C365,'PUNTOS DE VENTA'!$A$1:$C$75,3)</f>
        <v>XA078</v>
      </c>
      <c r="F365" s="125"/>
      <c r="G365" s="70" t="s">
        <v>62</v>
      </c>
      <c r="H365" s="126">
        <f>'RESUMEN DE PUNTOS DE VENTA'!$C$4</f>
        <v>2900678609</v>
      </c>
      <c r="I365" s="127"/>
    </row>
    <row r="366" spans="1:9" s="28" customFormat="1" ht="18.75" customHeight="1" x14ac:dyDescent="0.2">
      <c r="A366" s="122" t="s">
        <v>63</v>
      </c>
      <c r="B366" s="123"/>
      <c r="C366" s="128" t="str">
        <f>UPPER(VLOOKUP(C365,'PUNTOS DE VENTA'!$A$1:$B$75,2))</f>
        <v>MAXI CARIARI</v>
      </c>
      <c r="D366" s="128"/>
      <c r="E366" s="128"/>
      <c r="F366" s="128"/>
      <c r="G366" s="128"/>
      <c r="H366" s="128"/>
      <c r="I366" s="129"/>
    </row>
    <row r="367" spans="1:9" s="28" customFormat="1" ht="22.5" customHeight="1" x14ac:dyDescent="0.2">
      <c r="A367" s="130" t="s">
        <v>7</v>
      </c>
      <c r="B367" s="131"/>
      <c r="C367" s="71" t="s">
        <v>28</v>
      </c>
      <c r="D367" s="72" t="s">
        <v>11</v>
      </c>
      <c r="E367" s="72" t="s">
        <v>8</v>
      </c>
      <c r="F367" s="73" t="s">
        <v>64</v>
      </c>
      <c r="G367" s="132" t="s">
        <v>65</v>
      </c>
      <c r="H367" s="133"/>
      <c r="I367" s="74" t="s">
        <v>66</v>
      </c>
    </row>
    <row r="368" spans="1:9" s="28" customFormat="1" x14ac:dyDescent="0.2">
      <c r="A368" s="32">
        <v>1</v>
      </c>
      <c r="B368" s="30">
        <f>IF(SUMIFS('RESUMEN DE PUNTOS DE VENTA'!C$7:C$145,'RESUMEN DE PUNTOS DE VENTA'!A$7:A$145,C365,'RESUMEN DE PUNTOS DE VENTA'!C$7:C$145,"2645516") = 2645516, 2645516, IF(SUMIFS('RESUMEN DE PUNTOS DE VENTA'!C$7:C$145,'RESUMEN DE PUNTOS DE VENTA'!A$7:A$145,C365,'RESUMEN DE PUNTOS DE VENTA'!C$7:C$145,"2647973") = 2647973, 2647973, ""))</f>
        <v>2647973</v>
      </c>
      <c r="C368" s="31" t="str">
        <f>IF(B368&lt;&gt;"",UPPER(VLOOKUP(B368,CATALOGO!$A$8:$E$36,3)),"")</f>
        <v>ALMOHADA BEBE SENCILLA ESTAMPADA</v>
      </c>
      <c r="D368" s="31">
        <f>IF(B368&lt;&gt;"",VLOOKUP(B368,CATALOGO!$A$8:$E$36,2),"")</f>
        <v>7441119600768</v>
      </c>
      <c r="E368" s="29">
        <f>IF(B368&lt;&gt;"",VLOOKUP(B368,CATALOGO!$A$8:$E$36,5),"")</f>
        <v>3</v>
      </c>
      <c r="F368" s="29">
        <f>IF(B368&lt;&gt;"",SUMIFS('RESUMEN DE PUNTOS DE VENTA'!G$7:G$145,'RESUMEN DE PUNTOS DE VENTA'!A$7:A$145,C365,'RESUMEN DE PUNTOS DE VENTA'!C$7:C$145,CROSSDOCKING!B368),"")</f>
        <v>1</v>
      </c>
      <c r="G368" s="107">
        <f>IF(B368&lt;&gt;"",SUMIFS('RESUMEN DE PUNTOS DE VENTA'!H$7:H$145,'RESUMEN DE PUNTOS DE VENTA'!A$7:A$145,C365,'RESUMEN DE PUNTOS DE VENTA'!C$7:C$145,CROSSDOCKING!B368),"")</f>
        <v>1</v>
      </c>
      <c r="H368" s="108" t="e">
        <f>IF(D368&lt;&gt;"",SUMIFS('RESUMEN DE PUNTOS DE VENTA'!#REF!,'RESUMEN DE PUNTOS DE VENTA'!#REF!,E365,'RESUMEN DE PUNTOS DE VENTA'!#REF!,CROSSDOCKING!D368),"")</f>
        <v>#REF!</v>
      </c>
      <c r="I368" s="29">
        <f>IF(B368&lt;&gt;"",F368-G368,"")</f>
        <v>0</v>
      </c>
    </row>
    <row r="369" spans="1:9" s="28" customFormat="1" x14ac:dyDescent="0.2">
      <c r="A369" s="32">
        <v>2</v>
      </c>
      <c r="B369" s="30" t="str">
        <f>IF(AND(B368&lt;&gt;"",B368&lt;&gt;2647973),IF(SUMIFS('RESUMEN DE PUNTOS DE VENTA'!C$7:C$145,'RESUMEN DE PUNTOS DE VENTA'!A$7:A$145,C365,'RESUMEN DE PUNTOS DE VENTA'!C$7:C$145,"2647973")=2647973,2647973,""), "")</f>
        <v/>
      </c>
      <c r="C369" s="31" t="str">
        <f>IF(B369&lt;&gt;"",UPPER(VLOOKUP(B369,CATALOGO!$A$8:$E$36,3)),"")</f>
        <v/>
      </c>
      <c r="D369" s="31" t="str">
        <f>IF(B369&lt;&gt;"",VLOOKUP(B369,CATALOGO!$A$8:$E$36,2),"")</f>
        <v/>
      </c>
      <c r="E369" s="29" t="str">
        <f>IF(B369&lt;&gt;"",VLOOKUP(B369,CATALOGO!$A$8:$E$36,5),"")</f>
        <v/>
      </c>
      <c r="F369" s="29" t="str">
        <f>IF(B369&lt;&gt;"",SUMIFS('RESUMEN DE PUNTOS DE VENTA'!G$7:G$145,'RESUMEN DE PUNTOS DE VENTA'!A$7:A$145,C365,'RESUMEN DE PUNTOS DE VENTA'!C$7:C$145,CROSSDOCKING!B369),"")</f>
        <v/>
      </c>
      <c r="G369" s="107" t="str">
        <f>IF(B369&lt;&gt;"",SUMIFS('RESUMEN DE PUNTOS DE VENTA'!H$7:H$145,'RESUMEN DE PUNTOS DE VENTA'!A$7:A$145,C365,'RESUMEN DE PUNTOS DE VENTA'!C$7:C$145,CROSSDOCKING!B369),"")</f>
        <v/>
      </c>
      <c r="H369" s="108" t="str">
        <f>IF(D369&lt;&gt;"",SUMIFS('RESUMEN DE PUNTOS DE VENTA'!#REF!,'RESUMEN DE PUNTOS DE VENTA'!#REF!,E366,'RESUMEN DE PUNTOS DE VENTA'!#REF!,CROSSDOCKING!D369),"")</f>
        <v/>
      </c>
      <c r="I369" s="29" t="str">
        <f t="shared" ref="I369:I370" si="31">IF(B369&lt;&gt;"",F369-G369,"")</f>
        <v/>
      </c>
    </row>
    <row r="370" spans="1:9" s="28" customFormat="1" x14ac:dyDescent="0.2">
      <c r="A370" s="32">
        <v>3</v>
      </c>
      <c r="B370" s="30"/>
      <c r="C370" s="31" t="str">
        <f>IF(B370&lt;&gt;"",UPPER(VLOOKUP(B370,CATALOGO!$A$8:$E$36,3)),"")</f>
        <v/>
      </c>
      <c r="D370" s="31" t="str">
        <f>IF(B370&lt;&gt;"",VLOOKUP(B370,CATALOGO!$A$8:$E$36,2),"")</f>
        <v/>
      </c>
      <c r="E370" s="29" t="str">
        <f>IF(B370&lt;&gt;"",VLOOKUP(B370,CATALOGO!$A$8:$E$36,5),"")</f>
        <v/>
      </c>
      <c r="F370" s="29" t="str">
        <f>IF(B370&lt;&gt;"",SUMIFS('RESUMEN DE PUNTOS DE VENTA'!G$7:G$145,'RESUMEN DE PUNTOS DE VENTA'!A$7:A$145,C365,'RESUMEN DE PUNTOS DE VENTA'!C$7:C$145,CROSSDOCKING!B370),"")</f>
        <v/>
      </c>
      <c r="G370" s="107" t="str">
        <f>IF(B370&lt;&gt;"",SUMIFS('RESUMEN DE PUNTOS DE VENTA'!H$7:H$145,'RESUMEN DE PUNTOS DE VENTA'!A$7:A$145,C365,'RESUMEN DE PUNTOS DE VENTA'!C$7:C$145,CROSSDOCKING!B370),"")</f>
        <v/>
      </c>
      <c r="H370" s="108" t="str">
        <f>IF(D370&lt;&gt;"",SUMIFS('RESUMEN DE PUNTOS DE VENTA'!#REF!,'RESUMEN DE PUNTOS DE VENTA'!#REF!,E367,'RESUMEN DE PUNTOS DE VENTA'!#REF!,CROSSDOCKING!D370),"")</f>
        <v/>
      </c>
      <c r="I370" s="29" t="str">
        <f t="shared" si="31"/>
        <v/>
      </c>
    </row>
    <row r="371" spans="1:9" s="28" customFormat="1" ht="15" customHeight="1" x14ac:dyDescent="0.2">
      <c r="A371" s="109" t="s">
        <v>67</v>
      </c>
      <c r="B371" s="110"/>
      <c r="C371" s="110"/>
      <c r="D371" s="110"/>
      <c r="E371" s="111"/>
      <c r="F371" s="29">
        <f>SUM(F368:F370)</f>
        <v>1</v>
      </c>
      <c r="G371" s="107">
        <f>SUM(G368:G370)</f>
        <v>1</v>
      </c>
      <c r="H371" s="108"/>
      <c r="I371" s="29">
        <f>SUM(I368:I370)</f>
        <v>0</v>
      </c>
    </row>
    <row r="372" spans="1:9" s="28" customFormat="1" ht="15" customHeight="1" x14ac:dyDescent="0.2">
      <c r="A372" s="134" t="s">
        <v>150</v>
      </c>
      <c r="B372" s="135"/>
      <c r="C372" s="52">
        <f>COUNTIF($A$1:I371, "TOTAL")</f>
        <v>32</v>
      </c>
      <c r="D372" s="135" t="s">
        <v>146</v>
      </c>
      <c r="E372" s="135"/>
      <c r="F372" s="136">
        <f>CAJAS!$C$21</f>
        <v>33</v>
      </c>
      <c r="G372" s="136"/>
      <c r="H372" s="136"/>
      <c r="I372" s="137"/>
    </row>
    <row r="373" spans="1:9" s="28" customFormat="1" ht="10" customHeight="1" thickBot="1" x14ac:dyDescent="0.25">
      <c r="A373" s="138"/>
      <c r="B373" s="138"/>
      <c r="C373" s="138"/>
      <c r="D373" s="138"/>
      <c r="E373" s="138"/>
      <c r="F373" s="138"/>
      <c r="G373" s="138"/>
      <c r="H373" s="138"/>
      <c r="I373" s="138"/>
    </row>
    <row r="374" spans="1:9" s="28" customFormat="1" ht="10" customHeight="1" thickTop="1" x14ac:dyDescent="0.2">
      <c r="A374" s="115"/>
      <c r="B374" s="115"/>
      <c r="C374" s="115"/>
      <c r="D374" s="115"/>
      <c r="E374" s="115"/>
      <c r="F374" s="115"/>
      <c r="G374" s="115"/>
      <c r="H374" s="115"/>
      <c r="I374" s="115"/>
    </row>
    <row r="375" spans="1:9" s="28" customFormat="1" ht="16" x14ac:dyDescent="0.2">
      <c r="A375" s="116" t="s">
        <v>59</v>
      </c>
      <c r="B375" s="117"/>
      <c r="C375" s="117"/>
      <c r="D375" s="117"/>
      <c r="E375" s="117"/>
      <c r="F375" s="117"/>
      <c r="G375" s="117"/>
      <c r="H375" s="117"/>
      <c r="I375" s="118"/>
    </row>
    <row r="376" spans="1:9" s="28" customFormat="1" ht="16" x14ac:dyDescent="0.2">
      <c r="A376" s="119" t="s">
        <v>60</v>
      </c>
      <c r="B376" s="120"/>
      <c r="C376" s="120"/>
      <c r="D376" s="120"/>
      <c r="E376" s="120"/>
      <c r="F376" s="120"/>
      <c r="G376" s="120"/>
      <c r="H376" s="120"/>
      <c r="I376" s="121"/>
    </row>
    <row r="377" spans="1:9" s="28" customFormat="1" ht="18.75" customHeight="1" x14ac:dyDescent="0.2">
      <c r="A377" s="122" t="s">
        <v>61</v>
      </c>
      <c r="B377" s="123"/>
      <c r="C377" s="69">
        <v>966</v>
      </c>
      <c r="D377" s="53" t="s">
        <v>244</v>
      </c>
      <c r="E377" s="124" t="str">
        <f>VLOOKUP(C377,'PUNTOS DE VENTA'!$A$1:$C$75,3)</f>
        <v>XA271</v>
      </c>
      <c r="F377" s="125"/>
      <c r="G377" s="70" t="s">
        <v>62</v>
      </c>
      <c r="H377" s="126">
        <f>'RESUMEN DE PUNTOS DE VENTA'!$C$4</f>
        <v>2900678609</v>
      </c>
      <c r="I377" s="127"/>
    </row>
    <row r="378" spans="1:9" s="28" customFormat="1" ht="18.75" customHeight="1" x14ac:dyDescent="0.2">
      <c r="A378" s="122" t="s">
        <v>63</v>
      </c>
      <c r="B378" s="123"/>
      <c r="C378" s="128" t="str">
        <f>UPPER(VLOOKUP(C377,'PUNTOS DE VENTA'!$A$1:$B$75,2))</f>
        <v>MAXI UVITA</v>
      </c>
      <c r="D378" s="128"/>
      <c r="E378" s="128"/>
      <c r="F378" s="128"/>
      <c r="G378" s="128"/>
      <c r="H378" s="128"/>
      <c r="I378" s="129"/>
    </row>
    <row r="379" spans="1:9" s="28" customFormat="1" ht="22.5" customHeight="1" x14ac:dyDescent="0.2">
      <c r="A379" s="130" t="s">
        <v>7</v>
      </c>
      <c r="B379" s="131"/>
      <c r="C379" s="71" t="s">
        <v>28</v>
      </c>
      <c r="D379" s="72" t="s">
        <v>11</v>
      </c>
      <c r="E379" s="72" t="s">
        <v>8</v>
      </c>
      <c r="F379" s="73" t="s">
        <v>64</v>
      </c>
      <c r="G379" s="132" t="s">
        <v>65</v>
      </c>
      <c r="H379" s="133"/>
      <c r="I379" s="74" t="s">
        <v>66</v>
      </c>
    </row>
    <row r="380" spans="1:9" s="28" customFormat="1" x14ac:dyDescent="0.2">
      <c r="A380" s="32">
        <v>1</v>
      </c>
      <c r="B380" s="30">
        <f>IF(SUMIFS('RESUMEN DE PUNTOS DE VENTA'!C$7:C$145,'RESUMEN DE PUNTOS DE VENTA'!A$7:A$145,C377,'RESUMEN DE PUNTOS DE VENTA'!C$7:C$145,"2645516") = 2645516, 2645516, IF(SUMIFS('RESUMEN DE PUNTOS DE VENTA'!C$7:C$145,'RESUMEN DE PUNTOS DE VENTA'!A$7:A$145,C377,'RESUMEN DE PUNTOS DE VENTA'!C$7:C$145,"2647973") = 2647973, 2647973, ""))</f>
        <v>2645516</v>
      </c>
      <c r="C380" s="31" t="str">
        <f>IF(B380&lt;&gt;"",UPPER(VLOOKUP(B380,CATALOGO!$A$8:$E$36,3)),"")</f>
        <v>ALMOHADA Y FUNDA BEBE COLORES SURTIDOS DOCOMA</v>
      </c>
      <c r="D380" s="31">
        <f>IF(B380&lt;&gt;"",VLOOKUP(B380,CATALOGO!$A$8:$E$36,2),"")</f>
        <v>7441119600652</v>
      </c>
      <c r="E380" s="29">
        <f>IF(B380&lt;&gt;"",VLOOKUP(B380,CATALOGO!$A$8:$E$36,5),"")</f>
        <v>3</v>
      </c>
      <c r="F380" s="29">
        <f>IF(B380&lt;&gt;"",SUMIFS('RESUMEN DE PUNTOS DE VENTA'!G$7:G$145,'RESUMEN DE PUNTOS DE VENTA'!A$7:A$145,C377,'RESUMEN DE PUNTOS DE VENTA'!C$7:C$145,CROSSDOCKING!B380),"")</f>
        <v>1</v>
      </c>
      <c r="G380" s="107">
        <f>IF(B380&lt;&gt;"",SUMIFS('RESUMEN DE PUNTOS DE VENTA'!H$7:H$145,'RESUMEN DE PUNTOS DE VENTA'!A$7:A$145,C377,'RESUMEN DE PUNTOS DE VENTA'!C$7:C$145,CROSSDOCKING!B380),"")</f>
        <v>1</v>
      </c>
      <c r="H380" s="108" t="e">
        <f>IF(D380&lt;&gt;"",SUMIFS('RESUMEN DE PUNTOS DE VENTA'!#REF!,'RESUMEN DE PUNTOS DE VENTA'!#REF!,E377,'RESUMEN DE PUNTOS DE VENTA'!#REF!,CROSSDOCKING!D380),"")</f>
        <v>#REF!</v>
      </c>
      <c r="I380" s="29">
        <f>IF(B380&lt;&gt;"",F380-G380,"")</f>
        <v>0</v>
      </c>
    </row>
    <row r="381" spans="1:9" s="28" customFormat="1" x14ac:dyDescent="0.2">
      <c r="A381" s="32">
        <v>2</v>
      </c>
      <c r="B381" s="30" t="str">
        <f>IF(AND(B380&lt;&gt;"",B380&lt;&gt;2647973),IF(SUMIFS('RESUMEN DE PUNTOS DE VENTA'!C$7:C$145,'RESUMEN DE PUNTOS DE VENTA'!A$7:A$145,C377,'RESUMEN DE PUNTOS DE VENTA'!C$7:C$145,"2647973")=2647973,2647973,""), "")</f>
        <v/>
      </c>
      <c r="C381" s="31" t="str">
        <f>IF(B381&lt;&gt;"",UPPER(VLOOKUP(B381,CATALOGO!$A$8:$E$36,3)),"")</f>
        <v/>
      </c>
      <c r="D381" s="31" t="str">
        <f>IF(B381&lt;&gt;"",VLOOKUP(B381,CATALOGO!$A$8:$E$36,2),"")</f>
        <v/>
      </c>
      <c r="E381" s="29" t="str">
        <f>IF(B381&lt;&gt;"",VLOOKUP(B381,CATALOGO!$A$8:$E$36,5),"")</f>
        <v/>
      </c>
      <c r="F381" s="29" t="str">
        <f>IF(B381&lt;&gt;"",SUMIFS('RESUMEN DE PUNTOS DE VENTA'!G$7:G$145,'RESUMEN DE PUNTOS DE VENTA'!A$7:A$145,C377,'RESUMEN DE PUNTOS DE VENTA'!C$7:C$145,CROSSDOCKING!B381),"")</f>
        <v/>
      </c>
      <c r="G381" s="107" t="str">
        <f>IF(B381&lt;&gt;"",SUMIFS('RESUMEN DE PUNTOS DE VENTA'!H$7:H$145,'RESUMEN DE PUNTOS DE VENTA'!A$7:A$145,C377,'RESUMEN DE PUNTOS DE VENTA'!C$7:C$145,CROSSDOCKING!B381),"")</f>
        <v/>
      </c>
      <c r="H381" s="108" t="str">
        <f>IF(D381&lt;&gt;"",SUMIFS('RESUMEN DE PUNTOS DE VENTA'!#REF!,'RESUMEN DE PUNTOS DE VENTA'!#REF!,E378,'RESUMEN DE PUNTOS DE VENTA'!#REF!,CROSSDOCKING!D381),"")</f>
        <v/>
      </c>
      <c r="I381" s="29" t="str">
        <f t="shared" ref="I381:I382" si="32">IF(B381&lt;&gt;"",F381-G381,"")</f>
        <v/>
      </c>
    </row>
    <row r="382" spans="1:9" s="28" customFormat="1" x14ac:dyDescent="0.2">
      <c r="A382" s="32">
        <v>3</v>
      </c>
      <c r="B382" s="30"/>
      <c r="C382" s="31" t="str">
        <f>IF(B382&lt;&gt;"",UPPER(VLOOKUP(B382,CATALOGO!$A$8:$E$36,3)),"")</f>
        <v/>
      </c>
      <c r="D382" s="31" t="str">
        <f>IF(B382&lt;&gt;"",VLOOKUP(B382,CATALOGO!$A$8:$E$36,2),"")</f>
        <v/>
      </c>
      <c r="E382" s="29" t="str">
        <f>IF(B382&lt;&gt;"",VLOOKUP(B382,CATALOGO!$A$8:$E$36,5),"")</f>
        <v/>
      </c>
      <c r="F382" s="29" t="str">
        <f>IF(B382&lt;&gt;"",SUMIFS('RESUMEN DE PUNTOS DE VENTA'!G$7:G$145,'RESUMEN DE PUNTOS DE VENTA'!A$7:A$145,C377,'RESUMEN DE PUNTOS DE VENTA'!C$7:C$145,CROSSDOCKING!B382),"")</f>
        <v/>
      </c>
      <c r="G382" s="107" t="str">
        <f>IF(B382&lt;&gt;"",SUMIFS('RESUMEN DE PUNTOS DE VENTA'!H$7:H$145,'RESUMEN DE PUNTOS DE VENTA'!A$7:A$145,C377,'RESUMEN DE PUNTOS DE VENTA'!C$7:C$145,CROSSDOCKING!B382),"")</f>
        <v/>
      </c>
      <c r="H382" s="108" t="str">
        <f>IF(D382&lt;&gt;"",SUMIFS('RESUMEN DE PUNTOS DE VENTA'!#REF!,'RESUMEN DE PUNTOS DE VENTA'!#REF!,E379,'RESUMEN DE PUNTOS DE VENTA'!#REF!,CROSSDOCKING!D382),"")</f>
        <v/>
      </c>
      <c r="I382" s="29" t="str">
        <f t="shared" si="32"/>
        <v/>
      </c>
    </row>
    <row r="383" spans="1:9" s="28" customFormat="1" ht="15" customHeight="1" x14ac:dyDescent="0.2">
      <c r="A383" s="109" t="s">
        <v>67</v>
      </c>
      <c r="B383" s="110"/>
      <c r="C383" s="110"/>
      <c r="D383" s="110"/>
      <c r="E383" s="111"/>
      <c r="F383" s="29">
        <f>SUM(F380:F382)</f>
        <v>1</v>
      </c>
      <c r="G383" s="107">
        <f>SUM(G380:G382)</f>
        <v>1</v>
      </c>
      <c r="H383" s="108"/>
      <c r="I383" s="29">
        <f>SUM(I380:I382)</f>
        <v>0</v>
      </c>
    </row>
    <row r="384" spans="1:9" s="28" customFormat="1" ht="15" customHeight="1" x14ac:dyDescent="0.2">
      <c r="A384" s="107" t="s">
        <v>150</v>
      </c>
      <c r="B384" s="112"/>
      <c r="C384" s="54">
        <f>COUNTIF($A$1:I383, "TOTAL")</f>
        <v>33</v>
      </c>
      <c r="D384" s="112" t="s">
        <v>146</v>
      </c>
      <c r="E384" s="112"/>
      <c r="F384" s="113">
        <f>CAJAS!$C$21</f>
        <v>33</v>
      </c>
      <c r="G384" s="113"/>
      <c r="H384" s="113"/>
      <c r="I384" s="114"/>
    </row>
    <row r="385" spans="1:9" s="28" customFormat="1" ht="10" customHeight="1" thickBot="1" x14ac:dyDescent="0.25">
      <c r="A385" s="138"/>
      <c r="B385" s="138"/>
      <c r="C385" s="138"/>
      <c r="D385" s="138"/>
      <c r="E385" s="138"/>
      <c r="F385" s="138"/>
      <c r="G385" s="138"/>
      <c r="H385" s="138"/>
      <c r="I385" s="138"/>
    </row>
    <row r="386" spans="1:9" ht="16" thickTop="1" x14ac:dyDescent="0.2"/>
  </sheetData>
  <mergeCells count="616">
    <mergeCell ref="C378:I378"/>
    <mergeCell ref="H377:I377"/>
    <mergeCell ref="E377:F377"/>
    <mergeCell ref="A379:B379"/>
    <mergeCell ref="A378:B378"/>
    <mergeCell ref="A377:B377"/>
    <mergeCell ref="A376:I376"/>
    <mergeCell ref="A375:I375"/>
    <mergeCell ref="F384:I384"/>
    <mergeCell ref="D384:E384"/>
    <mergeCell ref="A384:B384"/>
    <mergeCell ref="A383:E383"/>
    <mergeCell ref="G380:H380"/>
    <mergeCell ref="G382:H382"/>
    <mergeCell ref="G379:H379"/>
    <mergeCell ref="G383:H383"/>
    <mergeCell ref="G381:H381"/>
    <mergeCell ref="H27:I27"/>
    <mergeCell ref="G31:H31"/>
    <mergeCell ref="A33:E33"/>
    <mergeCell ref="G33:H33"/>
    <mergeCell ref="G32:H32"/>
    <mergeCell ref="G30:H30"/>
    <mergeCell ref="A23:I23"/>
    <mergeCell ref="C28:I28"/>
    <mergeCell ref="A29:B29"/>
    <mergeCell ref="G29:H29"/>
    <mergeCell ref="G19:H19"/>
    <mergeCell ref="G20:H20"/>
    <mergeCell ref="A27:B27"/>
    <mergeCell ref="F22:I22"/>
    <mergeCell ref="A22:B22"/>
    <mergeCell ref="D22:E22"/>
    <mergeCell ref="A25:I25"/>
    <mergeCell ref="A28:B28"/>
    <mergeCell ref="A26:I26"/>
    <mergeCell ref="A374:I374"/>
    <mergeCell ref="A1:I1"/>
    <mergeCell ref="A5:B5"/>
    <mergeCell ref="A3:B3"/>
    <mergeCell ref="H3:I3"/>
    <mergeCell ref="A4:B4"/>
    <mergeCell ref="A2:I2"/>
    <mergeCell ref="G5:H5"/>
    <mergeCell ref="C4:I4"/>
    <mergeCell ref="E3:F3"/>
    <mergeCell ref="G7:H7"/>
    <mergeCell ref="G6:H6"/>
    <mergeCell ref="G8:H8"/>
    <mergeCell ref="F10:I10"/>
    <mergeCell ref="G21:H21"/>
    <mergeCell ref="A24:I24"/>
    <mergeCell ref="A21:E21"/>
    <mergeCell ref="E27:F27"/>
    <mergeCell ref="G18:H18"/>
    <mergeCell ref="D10:E10"/>
    <mergeCell ref="A11:I11"/>
    <mergeCell ref="A16:B16"/>
    <mergeCell ref="C16:I16"/>
    <mergeCell ref="A17:B17"/>
    <mergeCell ref="G17:H17"/>
    <mergeCell ref="G9:H9"/>
    <mergeCell ref="A9:E9"/>
    <mergeCell ref="A12:I12"/>
    <mergeCell ref="A13:I13"/>
    <mergeCell ref="A14:I14"/>
    <mergeCell ref="H15:I15"/>
    <mergeCell ref="A10:B10"/>
    <mergeCell ref="E15:F15"/>
    <mergeCell ref="F34:I34"/>
    <mergeCell ref="A34:B34"/>
    <mergeCell ref="D34:E34"/>
    <mergeCell ref="A35:I35"/>
    <mergeCell ref="A15:B15"/>
    <mergeCell ref="A385:I385"/>
    <mergeCell ref="A36:I36"/>
    <mergeCell ref="A37:I37"/>
    <mergeCell ref="A38:I38"/>
    <mergeCell ref="A39:B39"/>
    <mergeCell ref="E39:F39"/>
    <mergeCell ref="H39:I39"/>
    <mergeCell ref="A40:B40"/>
    <mergeCell ref="C40:I40"/>
    <mergeCell ref="A41:B41"/>
    <mergeCell ref="G41:H41"/>
    <mergeCell ref="A48:I48"/>
    <mergeCell ref="A49:I49"/>
    <mergeCell ref="A50:I50"/>
    <mergeCell ref="A51:B51"/>
    <mergeCell ref="E51:F51"/>
    <mergeCell ref="H51:I51"/>
    <mergeCell ref="A52:B52"/>
    <mergeCell ref="C52:I52"/>
    <mergeCell ref="A53:B53"/>
    <mergeCell ref="G53:H53"/>
    <mergeCell ref="G42:H42"/>
    <mergeCell ref="G43:H43"/>
    <mergeCell ref="G44:H44"/>
    <mergeCell ref="A45:E45"/>
    <mergeCell ref="G45:H45"/>
    <mergeCell ref="A46:B46"/>
    <mergeCell ref="D46:E46"/>
    <mergeCell ref="F46:I46"/>
    <mergeCell ref="A47:I47"/>
    <mergeCell ref="A60:I60"/>
    <mergeCell ref="A61:I61"/>
    <mergeCell ref="A62:I62"/>
    <mergeCell ref="A63:B63"/>
    <mergeCell ref="E63:F63"/>
    <mergeCell ref="H63:I63"/>
    <mergeCell ref="A64:B64"/>
    <mergeCell ref="C64:I64"/>
    <mergeCell ref="A65:B65"/>
    <mergeCell ref="G65:H65"/>
    <mergeCell ref="G54:H54"/>
    <mergeCell ref="G55:H55"/>
    <mergeCell ref="G56:H56"/>
    <mergeCell ref="A57:E57"/>
    <mergeCell ref="G57:H57"/>
    <mergeCell ref="A58:B58"/>
    <mergeCell ref="D58:E58"/>
    <mergeCell ref="F58:I58"/>
    <mergeCell ref="A59:I59"/>
    <mergeCell ref="G66:H66"/>
    <mergeCell ref="G67:H67"/>
    <mergeCell ref="G68:H68"/>
    <mergeCell ref="A69:E69"/>
    <mergeCell ref="G69:H69"/>
    <mergeCell ref="A70:B70"/>
    <mergeCell ref="D70:E70"/>
    <mergeCell ref="F70:I70"/>
    <mergeCell ref="A161:E161"/>
    <mergeCell ref="G161:H161"/>
    <mergeCell ref="A162:B162"/>
    <mergeCell ref="D162:E162"/>
    <mergeCell ref="F162:I162"/>
    <mergeCell ref="A163:I163"/>
    <mergeCell ref="A164:I164"/>
    <mergeCell ref="A165:I165"/>
    <mergeCell ref="A166:I166"/>
    <mergeCell ref="A167:B167"/>
    <mergeCell ref="E167:F167"/>
    <mergeCell ref="H167:I167"/>
    <mergeCell ref="A168:B168"/>
    <mergeCell ref="C168:I168"/>
    <mergeCell ref="A226:B226"/>
    <mergeCell ref="C226:I226"/>
    <mergeCell ref="A227:B227"/>
    <mergeCell ref="G227:H227"/>
    <mergeCell ref="G228:H228"/>
    <mergeCell ref="G229:H229"/>
    <mergeCell ref="G230:H230"/>
    <mergeCell ref="A231:E231"/>
    <mergeCell ref="G231:H231"/>
    <mergeCell ref="G219:H219"/>
    <mergeCell ref="A220:B220"/>
    <mergeCell ref="D220:E220"/>
    <mergeCell ref="F220:I220"/>
    <mergeCell ref="A221:I221"/>
    <mergeCell ref="A222:I222"/>
    <mergeCell ref="A223:I223"/>
    <mergeCell ref="A224:I224"/>
    <mergeCell ref="A225:B225"/>
    <mergeCell ref="E225:F225"/>
    <mergeCell ref="H225:I225"/>
    <mergeCell ref="A238:B238"/>
    <mergeCell ref="C238:I238"/>
    <mergeCell ref="A239:B239"/>
    <mergeCell ref="G239:H239"/>
    <mergeCell ref="G240:H240"/>
    <mergeCell ref="G241:H241"/>
    <mergeCell ref="G242:H242"/>
    <mergeCell ref="A243:E243"/>
    <mergeCell ref="G243:H243"/>
    <mergeCell ref="A232:B232"/>
    <mergeCell ref="D232:E232"/>
    <mergeCell ref="F232:I232"/>
    <mergeCell ref="A233:I233"/>
    <mergeCell ref="A234:I234"/>
    <mergeCell ref="A235:I235"/>
    <mergeCell ref="A236:I236"/>
    <mergeCell ref="A237:B237"/>
    <mergeCell ref="E237:F237"/>
    <mergeCell ref="H237:I237"/>
    <mergeCell ref="A250:B250"/>
    <mergeCell ref="C250:I250"/>
    <mergeCell ref="A251:B251"/>
    <mergeCell ref="G251:H251"/>
    <mergeCell ref="G252:H252"/>
    <mergeCell ref="G253:H253"/>
    <mergeCell ref="G254:H254"/>
    <mergeCell ref="A255:E255"/>
    <mergeCell ref="G255:H255"/>
    <mergeCell ref="A244:B244"/>
    <mergeCell ref="D244:E244"/>
    <mergeCell ref="F244:I244"/>
    <mergeCell ref="A245:I245"/>
    <mergeCell ref="A246:I246"/>
    <mergeCell ref="A247:I247"/>
    <mergeCell ref="A248:I248"/>
    <mergeCell ref="A249:B249"/>
    <mergeCell ref="E249:F249"/>
    <mergeCell ref="H249:I249"/>
    <mergeCell ref="A270:I270"/>
    <mergeCell ref="A271:I271"/>
    <mergeCell ref="A272:I272"/>
    <mergeCell ref="A273:B273"/>
    <mergeCell ref="E273:F273"/>
    <mergeCell ref="H273:I273"/>
    <mergeCell ref="A262:B262"/>
    <mergeCell ref="C262:I262"/>
    <mergeCell ref="A263:B263"/>
    <mergeCell ref="G263:H263"/>
    <mergeCell ref="G264:H264"/>
    <mergeCell ref="G265:H265"/>
    <mergeCell ref="G266:H266"/>
    <mergeCell ref="A267:E267"/>
    <mergeCell ref="G267:H267"/>
    <mergeCell ref="A256:B256"/>
    <mergeCell ref="D256:E256"/>
    <mergeCell ref="F256:I256"/>
    <mergeCell ref="A257:I257"/>
    <mergeCell ref="A258:I258"/>
    <mergeCell ref="A259:I259"/>
    <mergeCell ref="A260:I260"/>
    <mergeCell ref="A261:B261"/>
    <mergeCell ref="E261:F261"/>
    <mergeCell ref="H261:I261"/>
    <mergeCell ref="A281:I281"/>
    <mergeCell ref="F150:I150"/>
    <mergeCell ref="A151:I151"/>
    <mergeCell ref="A152:I152"/>
    <mergeCell ref="A153:I153"/>
    <mergeCell ref="A154:I154"/>
    <mergeCell ref="A155:B155"/>
    <mergeCell ref="E155:F155"/>
    <mergeCell ref="H155:I155"/>
    <mergeCell ref="A156:B156"/>
    <mergeCell ref="C156:I156"/>
    <mergeCell ref="A157:B157"/>
    <mergeCell ref="G157:H157"/>
    <mergeCell ref="G158:H158"/>
    <mergeCell ref="G159:H159"/>
    <mergeCell ref="G160:H160"/>
    <mergeCell ref="A280:B280"/>
    <mergeCell ref="D280:E280"/>
    <mergeCell ref="F280:I280"/>
    <mergeCell ref="A274:B274"/>
    <mergeCell ref="C274:I274"/>
    <mergeCell ref="A275:B275"/>
    <mergeCell ref="G275:H275"/>
    <mergeCell ref="G276:H276"/>
    <mergeCell ref="G277:H277"/>
    <mergeCell ref="G278:H278"/>
    <mergeCell ref="A279:E279"/>
    <mergeCell ref="G279:H279"/>
    <mergeCell ref="A268:B268"/>
    <mergeCell ref="D268:E268"/>
    <mergeCell ref="F268:I268"/>
    <mergeCell ref="A269:I269"/>
    <mergeCell ref="G287:H287"/>
    <mergeCell ref="G288:H288"/>
    <mergeCell ref="A289:E289"/>
    <mergeCell ref="G289:H289"/>
    <mergeCell ref="A290:B290"/>
    <mergeCell ref="D290:E290"/>
    <mergeCell ref="F290:I290"/>
    <mergeCell ref="A291:I291"/>
    <mergeCell ref="A292:I292"/>
    <mergeCell ref="A282:I282"/>
    <mergeCell ref="A283:B283"/>
    <mergeCell ref="E283:F283"/>
    <mergeCell ref="H283:I283"/>
    <mergeCell ref="A284:B284"/>
    <mergeCell ref="C284:I284"/>
    <mergeCell ref="A285:B285"/>
    <mergeCell ref="G285:H285"/>
    <mergeCell ref="G286:H286"/>
    <mergeCell ref="G298:H298"/>
    <mergeCell ref="G299:H299"/>
    <mergeCell ref="G300:H300"/>
    <mergeCell ref="A301:E301"/>
    <mergeCell ref="G301:H301"/>
    <mergeCell ref="A302:B302"/>
    <mergeCell ref="D302:E302"/>
    <mergeCell ref="F302:I302"/>
    <mergeCell ref="A303:I303"/>
    <mergeCell ref="A293:I293"/>
    <mergeCell ref="A294:I294"/>
    <mergeCell ref="A295:B295"/>
    <mergeCell ref="E295:F295"/>
    <mergeCell ref="H295:I295"/>
    <mergeCell ref="A296:B296"/>
    <mergeCell ref="C296:I296"/>
    <mergeCell ref="A297:B297"/>
    <mergeCell ref="G297:H297"/>
    <mergeCell ref="G310:H310"/>
    <mergeCell ref="G311:H311"/>
    <mergeCell ref="G312:H312"/>
    <mergeCell ref="A313:E313"/>
    <mergeCell ref="G313:H313"/>
    <mergeCell ref="A314:B314"/>
    <mergeCell ref="D314:E314"/>
    <mergeCell ref="F314:I314"/>
    <mergeCell ref="A315:I315"/>
    <mergeCell ref="A304:I304"/>
    <mergeCell ref="A305:I305"/>
    <mergeCell ref="A306:I306"/>
    <mergeCell ref="A307:B307"/>
    <mergeCell ref="E307:F307"/>
    <mergeCell ref="H307:I307"/>
    <mergeCell ref="A308:B308"/>
    <mergeCell ref="C308:I308"/>
    <mergeCell ref="A309:B309"/>
    <mergeCell ref="G309:H309"/>
    <mergeCell ref="G322:H322"/>
    <mergeCell ref="G323:H323"/>
    <mergeCell ref="G324:H324"/>
    <mergeCell ref="A325:E325"/>
    <mergeCell ref="G325:H325"/>
    <mergeCell ref="A326:B326"/>
    <mergeCell ref="D326:E326"/>
    <mergeCell ref="F326:I326"/>
    <mergeCell ref="A327:I327"/>
    <mergeCell ref="A316:I316"/>
    <mergeCell ref="A317:I317"/>
    <mergeCell ref="A318:I318"/>
    <mergeCell ref="A319:B319"/>
    <mergeCell ref="E319:F319"/>
    <mergeCell ref="H319:I319"/>
    <mergeCell ref="A320:B320"/>
    <mergeCell ref="C320:I320"/>
    <mergeCell ref="A321:B321"/>
    <mergeCell ref="G321:H321"/>
    <mergeCell ref="G334:H334"/>
    <mergeCell ref="G335:H335"/>
    <mergeCell ref="G336:H336"/>
    <mergeCell ref="A337:E337"/>
    <mergeCell ref="G337:H337"/>
    <mergeCell ref="A338:B338"/>
    <mergeCell ref="D338:E338"/>
    <mergeCell ref="F338:I338"/>
    <mergeCell ref="A339:I339"/>
    <mergeCell ref="A328:I328"/>
    <mergeCell ref="A329:I329"/>
    <mergeCell ref="A330:I330"/>
    <mergeCell ref="A331:B331"/>
    <mergeCell ref="E331:F331"/>
    <mergeCell ref="H331:I331"/>
    <mergeCell ref="A332:B332"/>
    <mergeCell ref="C332:I332"/>
    <mergeCell ref="A333:B333"/>
    <mergeCell ref="G333:H333"/>
    <mergeCell ref="G346:H346"/>
    <mergeCell ref="G347:H347"/>
    <mergeCell ref="G348:H348"/>
    <mergeCell ref="A349:E349"/>
    <mergeCell ref="G349:H349"/>
    <mergeCell ref="A350:B350"/>
    <mergeCell ref="D350:E350"/>
    <mergeCell ref="F350:I350"/>
    <mergeCell ref="A351:I351"/>
    <mergeCell ref="A340:I340"/>
    <mergeCell ref="A341:I341"/>
    <mergeCell ref="A342:I342"/>
    <mergeCell ref="A343:B343"/>
    <mergeCell ref="E343:F343"/>
    <mergeCell ref="H343:I343"/>
    <mergeCell ref="A344:B344"/>
    <mergeCell ref="C344:I344"/>
    <mergeCell ref="A345:B345"/>
    <mergeCell ref="G345:H345"/>
    <mergeCell ref="G357:H357"/>
    <mergeCell ref="G358:H358"/>
    <mergeCell ref="A359:E359"/>
    <mergeCell ref="G359:H359"/>
    <mergeCell ref="A360:B360"/>
    <mergeCell ref="D360:E360"/>
    <mergeCell ref="F360:I360"/>
    <mergeCell ref="A361:I361"/>
    <mergeCell ref="A362:I362"/>
    <mergeCell ref="A352:I352"/>
    <mergeCell ref="A353:B353"/>
    <mergeCell ref="E353:F353"/>
    <mergeCell ref="H353:I353"/>
    <mergeCell ref="A354:B354"/>
    <mergeCell ref="C354:I354"/>
    <mergeCell ref="A355:B355"/>
    <mergeCell ref="G355:H355"/>
    <mergeCell ref="G356:H356"/>
    <mergeCell ref="G368:H368"/>
    <mergeCell ref="G369:H369"/>
    <mergeCell ref="G370:H370"/>
    <mergeCell ref="A371:E371"/>
    <mergeCell ref="G371:H371"/>
    <mergeCell ref="A372:B372"/>
    <mergeCell ref="D372:E372"/>
    <mergeCell ref="F372:I372"/>
    <mergeCell ref="A373:I373"/>
    <mergeCell ref="A363:I363"/>
    <mergeCell ref="A364:I364"/>
    <mergeCell ref="A365:B365"/>
    <mergeCell ref="E365:F365"/>
    <mergeCell ref="H365:I365"/>
    <mergeCell ref="A366:B366"/>
    <mergeCell ref="C366:I366"/>
    <mergeCell ref="A367:B367"/>
    <mergeCell ref="G367:H367"/>
    <mergeCell ref="A141:I141"/>
    <mergeCell ref="A142:I142"/>
    <mergeCell ref="A143:B143"/>
    <mergeCell ref="E143:F143"/>
    <mergeCell ref="H143:I143"/>
    <mergeCell ref="A144:B144"/>
    <mergeCell ref="C144:I144"/>
    <mergeCell ref="A145:B145"/>
    <mergeCell ref="G145:H145"/>
    <mergeCell ref="G146:H146"/>
    <mergeCell ref="G147:H147"/>
    <mergeCell ref="G148:H148"/>
    <mergeCell ref="A149:E149"/>
    <mergeCell ref="G149:H149"/>
    <mergeCell ref="A150:B150"/>
    <mergeCell ref="D150:E150"/>
    <mergeCell ref="A175:I175"/>
    <mergeCell ref="A176:I176"/>
    <mergeCell ref="A177:I177"/>
    <mergeCell ref="A178:I178"/>
    <mergeCell ref="A179:B179"/>
    <mergeCell ref="E179:F179"/>
    <mergeCell ref="H179:I179"/>
    <mergeCell ref="A180:B180"/>
    <mergeCell ref="C180:I180"/>
    <mergeCell ref="G169:H169"/>
    <mergeCell ref="G170:H170"/>
    <mergeCell ref="G171:H171"/>
    <mergeCell ref="G172:H172"/>
    <mergeCell ref="A173:E173"/>
    <mergeCell ref="G173:H173"/>
    <mergeCell ref="A174:B174"/>
    <mergeCell ref="D174:E174"/>
    <mergeCell ref="F174:I174"/>
    <mergeCell ref="A169:B169"/>
    <mergeCell ref="A187:I187"/>
    <mergeCell ref="A188:I188"/>
    <mergeCell ref="A189:I189"/>
    <mergeCell ref="A190:I190"/>
    <mergeCell ref="A191:B191"/>
    <mergeCell ref="E191:F191"/>
    <mergeCell ref="H191:I191"/>
    <mergeCell ref="A192:B192"/>
    <mergeCell ref="C192:I192"/>
    <mergeCell ref="A181:B181"/>
    <mergeCell ref="G181:H181"/>
    <mergeCell ref="G182:H182"/>
    <mergeCell ref="G183:H183"/>
    <mergeCell ref="G184:H184"/>
    <mergeCell ref="A185:E185"/>
    <mergeCell ref="G185:H185"/>
    <mergeCell ref="A186:B186"/>
    <mergeCell ref="D186:E186"/>
    <mergeCell ref="F186:I186"/>
    <mergeCell ref="A81:I81"/>
    <mergeCell ref="A82:I82"/>
    <mergeCell ref="A83:I83"/>
    <mergeCell ref="A211:I211"/>
    <mergeCell ref="A212:I212"/>
    <mergeCell ref="A213:B213"/>
    <mergeCell ref="E213:F213"/>
    <mergeCell ref="H213:I213"/>
    <mergeCell ref="A214:B214"/>
    <mergeCell ref="C214:I214"/>
    <mergeCell ref="A215:B215"/>
    <mergeCell ref="G215:H215"/>
    <mergeCell ref="A205:B205"/>
    <mergeCell ref="G205:H205"/>
    <mergeCell ref="G206:H206"/>
    <mergeCell ref="G207:H207"/>
    <mergeCell ref="G208:H208"/>
    <mergeCell ref="A209:E209"/>
    <mergeCell ref="G209:H209"/>
    <mergeCell ref="A210:B210"/>
    <mergeCell ref="D210:E210"/>
    <mergeCell ref="F210:I210"/>
    <mergeCell ref="A199:I199"/>
    <mergeCell ref="A200:I200"/>
    <mergeCell ref="A201:I201"/>
    <mergeCell ref="A202:I202"/>
    <mergeCell ref="A203:B203"/>
    <mergeCell ref="E203:F203"/>
    <mergeCell ref="H203:I203"/>
    <mergeCell ref="A204:B204"/>
    <mergeCell ref="C204:I204"/>
    <mergeCell ref="A193:B193"/>
    <mergeCell ref="A71:I71"/>
    <mergeCell ref="A72:I72"/>
    <mergeCell ref="A73:B73"/>
    <mergeCell ref="E73:F73"/>
    <mergeCell ref="H73:I73"/>
    <mergeCell ref="A74:B74"/>
    <mergeCell ref="C74:I74"/>
    <mergeCell ref="A75:B75"/>
    <mergeCell ref="G75:H75"/>
    <mergeCell ref="G76:H76"/>
    <mergeCell ref="G77:H77"/>
    <mergeCell ref="G78:H78"/>
    <mergeCell ref="A79:E79"/>
    <mergeCell ref="G79:H79"/>
    <mergeCell ref="A80:B80"/>
    <mergeCell ref="D80:E80"/>
    <mergeCell ref="F80:I80"/>
    <mergeCell ref="G89:H89"/>
    <mergeCell ref="G90:H90"/>
    <mergeCell ref="A91:E91"/>
    <mergeCell ref="G91:H91"/>
    <mergeCell ref="A92:B92"/>
    <mergeCell ref="D92:E92"/>
    <mergeCell ref="F92:I92"/>
    <mergeCell ref="A93:I93"/>
    <mergeCell ref="A94:I94"/>
    <mergeCell ref="A84:I84"/>
    <mergeCell ref="A85:B85"/>
    <mergeCell ref="E85:F85"/>
    <mergeCell ref="H85:I85"/>
    <mergeCell ref="A86:B86"/>
    <mergeCell ref="C86:I86"/>
    <mergeCell ref="A87:B87"/>
    <mergeCell ref="G87:H87"/>
    <mergeCell ref="G88:H88"/>
    <mergeCell ref="G100:H100"/>
    <mergeCell ref="G101:H101"/>
    <mergeCell ref="G102:H102"/>
    <mergeCell ref="A103:E103"/>
    <mergeCell ref="G103:H103"/>
    <mergeCell ref="A104:B104"/>
    <mergeCell ref="D104:E104"/>
    <mergeCell ref="F104:I104"/>
    <mergeCell ref="A105:I105"/>
    <mergeCell ref="A95:I95"/>
    <mergeCell ref="A96:I96"/>
    <mergeCell ref="A97:B97"/>
    <mergeCell ref="E97:F97"/>
    <mergeCell ref="H97:I97"/>
    <mergeCell ref="A98:B98"/>
    <mergeCell ref="C98:I98"/>
    <mergeCell ref="A99:B99"/>
    <mergeCell ref="G99:H99"/>
    <mergeCell ref="G112:H112"/>
    <mergeCell ref="G113:H113"/>
    <mergeCell ref="G114:H114"/>
    <mergeCell ref="A115:E115"/>
    <mergeCell ref="G115:H115"/>
    <mergeCell ref="A116:B116"/>
    <mergeCell ref="D116:E116"/>
    <mergeCell ref="F116:I116"/>
    <mergeCell ref="A117:I117"/>
    <mergeCell ref="A106:I106"/>
    <mergeCell ref="A107:I107"/>
    <mergeCell ref="A108:I108"/>
    <mergeCell ref="A109:B109"/>
    <mergeCell ref="E109:F109"/>
    <mergeCell ref="H109:I109"/>
    <mergeCell ref="A110:B110"/>
    <mergeCell ref="C110:I110"/>
    <mergeCell ref="A111:B111"/>
    <mergeCell ref="G111:H111"/>
    <mergeCell ref="G124:H124"/>
    <mergeCell ref="G125:H125"/>
    <mergeCell ref="G126:H126"/>
    <mergeCell ref="A127:E127"/>
    <mergeCell ref="G127:H127"/>
    <mergeCell ref="A128:B128"/>
    <mergeCell ref="D128:E128"/>
    <mergeCell ref="F128:I128"/>
    <mergeCell ref="A129:I129"/>
    <mergeCell ref="A118:I118"/>
    <mergeCell ref="A119:I119"/>
    <mergeCell ref="A120:I120"/>
    <mergeCell ref="A121:B121"/>
    <mergeCell ref="E121:F121"/>
    <mergeCell ref="H121:I121"/>
    <mergeCell ref="A122:B122"/>
    <mergeCell ref="C122:I122"/>
    <mergeCell ref="A123:B123"/>
    <mergeCell ref="G123:H123"/>
    <mergeCell ref="G136:H136"/>
    <mergeCell ref="G137:H137"/>
    <mergeCell ref="G138:H138"/>
    <mergeCell ref="A139:E139"/>
    <mergeCell ref="G139:H139"/>
    <mergeCell ref="A140:B140"/>
    <mergeCell ref="D140:E140"/>
    <mergeCell ref="F140:I140"/>
    <mergeCell ref="A130:I130"/>
    <mergeCell ref="A131:I131"/>
    <mergeCell ref="A132:I132"/>
    <mergeCell ref="A133:B133"/>
    <mergeCell ref="E133:F133"/>
    <mergeCell ref="H133:I133"/>
    <mergeCell ref="A134:B134"/>
    <mergeCell ref="C134:I134"/>
    <mergeCell ref="A135:B135"/>
    <mergeCell ref="G135:H135"/>
    <mergeCell ref="G216:H216"/>
    <mergeCell ref="G217:H217"/>
    <mergeCell ref="G218:H218"/>
    <mergeCell ref="A219:E219"/>
    <mergeCell ref="G193:H193"/>
    <mergeCell ref="G194:H194"/>
    <mergeCell ref="G195:H195"/>
    <mergeCell ref="G196:H196"/>
    <mergeCell ref="A197:E197"/>
    <mergeCell ref="G197:H197"/>
    <mergeCell ref="A198:B198"/>
    <mergeCell ref="D198:E198"/>
    <mergeCell ref="F198:I198"/>
  </mergeCells>
  <pageMargins left="0.7" right="0.7" top="0.75" bottom="0.75" header="0.3" footer="0.3"/>
  <pageSetup scale="67" fitToHeight="0" orientation="portrait" r:id="rId1"/>
  <headerFooter>
    <oddFooter>&amp;L&amp;"-,Negrita"&amp;15Hoja de distribución&amp;R&amp;"-,Negrita"&amp;15Página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6E62-A06F-4BC8-8F31-A9B251A1C43B}">
  <sheetPr codeName="Hoja4">
    <pageSetUpPr fitToPage="1"/>
  </sheetPr>
  <dimension ref="A1:I13"/>
  <sheetViews>
    <sheetView tabSelected="1" zoomScaleNormal="100" workbookViewId="0">
      <selection activeCell="A13" sqref="A13:H13"/>
    </sheetView>
  </sheetViews>
  <sheetFormatPr baseColWidth="10" defaultColWidth="11.5" defaultRowHeight="15" x14ac:dyDescent="0.2"/>
  <cols>
    <col min="1" max="1" width="16.6640625" customWidth="1"/>
    <col min="2" max="2" width="28" bestFit="1" customWidth="1"/>
    <col min="3" max="3" width="12.1640625" bestFit="1" customWidth="1"/>
    <col min="4" max="4" width="37.6640625" customWidth="1"/>
    <col min="5" max="5" width="14.5" style="1" customWidth="1"/>
    <col min="6" max="6" width="7.1640625" customWidth="1"/>
    <col min="7" max="7" width="17.83203125" style="1" customWidth="1"/>
    <col min="8" max="8" width="19.1640625" style="1" customWidth="1"/>
    <col min="9" max="9" width="12.6640625" customWidth="1"/>
  </cols>
  <sheetData>
    <row r="1" spans="1:9" s="5" customFormat="1" ht="20" x14ac:dyDescent="0.2">
      <c r="A1" s="139" t="s">
        <v>68</v>
      </c>
      <c r="B1" s="139"/>
      <c r="C1" s="139"/>
      <c r="D1" s="139"/>
      <c r="E1" s="139"/>
      <c r="F1" s="139"/>
      <c r="G1" s="139"/>
      <c r="H1" s="139"/>
    </row>
    <row r="2" spans="1:9" s="5" customFormat="1" ht="18.75" customHeight="1" x14ac:dyDescent="0.2">
      <c r="A2" s="140" t="s">
        <v>0</v>
      </c>
      <c r="B2" s="140"/>
      <c r="C2" s="140"/>
      <c r="D2" s="140"/>
      <c r="E2" s="140"/>
      <c r="F2" s="140"/>
      <c r="G2" s="140"/>
      <c r="H2" s="140"/>
    </row>
    <row r="3" spans="1:9" s="5" customFormat="1" ht="16" x14ac:dyDescent="0.2">
      <c r="A3" s="141" t="s">
        <v>2</v>
      </c>
      <c r="B3" s="141"/>
      <c r="C3" s="141" t="s">
        <v>1</v>
      </c>
      <c r="D3" s="141"/>
      <c r="E3" s="141"/>
      <c r="F3" s="141"/>
      <c r="G3" s="141"/>
      <c r="H3" s="141"/>
    </row>
    <row r="4" spans="1:9" s="5" customFormat="1" ht="16" x14ac:dyDescent="0.2">
      <c r="A4" s="141" t="s">
        <v>3</v>
      </c>
      <c r="B4" s="141"/>
      <c r="C4" s="141">
        <f>'RESUMEN DE PUNTOS DE VENTA'!C$3</f>
        <v>19596262</v>
      </c>
      <c r="D4" s="141"/>
      <c r="E4" s="141"/>
      <c r="F4" s="141"/>
      <c r="G4" s="141"/>
      <c r="H4" s="141"/>
    </row>
    <row r="5" spans="1:9" s="5" customFormat="1" ht="16" x14ac:dyDescent="0.2">
      <c r="A5" s="141" t="s">
        <v>74</v>
      </c>
      <c r="B5" s="141"/>
      <c r="C5" s="141">
        <f>'RESUMEN DE PUNTOS DE VENTA'!C$4</f>
        <v>2900678609</v>
      </c>
      <c r="D5" s="141"/>
      <c r="E5" s="196" t="s">
        <v>4</v>
      </c>
      <c r="F5" s="196"/>
      <c r="G5" s="196"/>
      <c r="H5" s="195">
        <f>'RESUMEN DE PUNTOS DE VENTA'!G$2</f>
        <v>42150458</v>
      </c>
    </row>
    <row r="6" spans="1:9" s="5" customFormat="1" ht="16" x14ac:dyDescent="0.2">
      <c r="A6" s="146"/>
      <c r="B6" s="146"/>
      <c r="C6" s="146"/>
      <c r="D6" s="146"/>
      <c r="E6" s="146"/>
      <c r="F6" s="146"/>
      <c r="G6" s="146"/>
      <c r="H6" s="146"/>
    </row>
    <row r="7" spans="1:9" x14ac:dyDescent="0.2">
      <c r="A7" s="142"/>
      <c r="B7" s="142"/>
      <c r="C7" s="142"/>
      <c r="D7" s="142"/>
      <c r="E7" s="142"/>
      <c r="F7" s="142"/>
      <c r="G7" s="142"/>
      <c r="H7" s="142"/>
      <c r="I7" s="10"/>
    </row>
    <row r="8" spans="1:9" s="194" customFormat="1" ht="15" customHeight="1" x14ac:dyDescent="0.2">
      <c r="A8" s="188" t="s">
        <v>5</v>
      </c>
      <c r="B8" s="189" t="s">
        <v>6</v>
      </c>
      <c r="C8" s="189" t="s">
        <v>7</v>
      </c>
      <c r="D8" s="190" t="s">
        <v>12</v>
      </c>
      <c r="E8" s="191" t="s">
        <v>11</v>
      </c>
      <c r="F8" s="191" t="s">
        <v>8</v>
      </c>
      <c r="G8" s="192" t="s">
        <v>9</v>
      </c>
      <c r="H8" s="193" t="s">
        <v>10</v>
      </c>
    </row>
    <row r="9" spans="1:9" s="2" customFormat="1" x14ac:dyDescent="0.2">
      <c r="A9" s="77">
        <v>3112</v>
      </c>
      <c r="B9" s="16" t="str">
        <f>VLOOKUP(A9,'PUNTOS DE VENTA'!A$2:B$75,2)</f>
        <v>Maxi Pacífica</v>
      </c>
      <c r="C9" s="16">
        <v>2645516</v>
      </c>
      <c r="D9" s="76" t="str">
        <f>VLOOKUP(C9,CATALOGO!$A$8:$C$36,3)</f>
        <v>almohada y funda bebe colores surtidos docoma</v>
      </c>
      <c r="E9" s="3">
        <v>7441119600171</v>
      </c>
      <c r="F9" s="3">
        <v>3</v>
      </c>
      <c r="G9" s="16">
        <v>2</v>
      </c>
      <c r="H9" s="76">
        <v>1</v>
      </c>
    </row>
    <row r="10" spans="1:9" s="2" customFormat="1" x14ac:dyDescent="0.2">
      <c r="A10" s="77">
        <v>3905</v>
      </c>
      <c r="B10" s="16" t="str">
        <f>VLOOKUP(A10,'PUNTOS DE VENTA'!A$2:B$75,2)</f>
        <v>Maxi Liberia</v>
      </c>
      <c r="C10" s="16">
        <v>2645516</v>
      </c>
      <c r="D10" s="76" t="str">
        <f>VLOOKUP(C10,CATALOGO!$A$8:$C$36,3)</f>
        <v>almohada y funda bebe colores surtidos docoma</v>
      </c>
      <c r="E10" s="3">
        <v>7441119600171</v>
      </c>
      <c r="F10" s="3">
        <v>3</v>
      </c>
      <c r="G10" s="16">
        <v>2</v>
      </c>
      <c r="H10" s="76">
        <v>1</v>
      </c>
    </row>
    <row r="11" spans="1:9" s="2" customFormat="1" x14ac:dyDescent="0.2">
      <c r="A11" s="77">
        <v>768</v>
      </c>
      <c r="B11" s="16" t="str">
        <f>VLOOKUP(A11,'PUNTOS DE VENTA'!A$2:B$75,2)</f>
        <v>Walmart CQ San Carlos</v>
      </c>
      <c r="C11" s="16">
        <v>2645516</v>
      </c>
      <c r="D11" s="76" t="str">
        <f>VLOOKUP(C11,CATALOGO!$A$8:$C$36,3)</f>
        <v>almohada y funda bebe colores surtidos docoma</v>
      </c>
      <c r="E11" s="3">
        <v>7441119600171</v>
      </c>
      <c r="F11" s="3">
        <v>3</v>
      </c>
      <c r="G11" s="16">
        <v>3</v>
      </c>
      <c r="H11" s="76">
        <v>1</v>
      </c>
    </row>
    <row r="12" spans="1:9" s="2" customFormat="1" x14ac:dyDescent="0.2">
      <c r="A12" s="184">
        <v>930</v>
      </c>
      <c r="B12" s="16" t="str">
        <f>VLOOKUP(A12,'PUNTOS DE VENTA'!A$2:B$75,2)</f>
        <v>Maxi Los Guido</v>
      </c>
      <c r="C12" s="16">
        <v>2645516</v>
      </c>
      <c r="D12" s="76" t="str">
        <f>VLOOKUP(C12,CATALOGO!$A$8:$C$36,3)</f>
        <v>almohada y funda bebe colores surtidos docoma</v>
      </c>
      <c r="E12" s="187">
        <v>7441119600768</v>
      </c>
      <c r="F12" s="187">
        <v>3</v>
      </c>
      <c r="G12" s="185">
        <v>2</v>
      </c>
      <c r="H12" s="186">
        <v>1</v>
      </c>
    </row>
    <row r="13" spans="1:9" x14ac:dyDescent="0.2">
      <c r="A13" s="145"/>
      <c r="B13" s="145"/>
      <c r="C13" s="145"/>
      <c r="D13" s="145"/>
      <c r="E13" s="145"/>
      <c r="F13" s="145"/>
      <c r="G13" s="145"/>
      <c r="H13" s="145"/>
    </row>
  </sheetData>
  <mergeCells count="12">
    <mergeCell ref="A13:H13"/>
    <mergeCell ref="C5:D5"/>
    <mergeCell ref="A6:H6"/>
    <mergeCell ref="E5:G5"/>
    <mergeCell ref="A1:H1"/>
    <mergeCell ref="A2:H2"/>
    <mergeCell ref="A3:B3"/>
    <mergeCell ref="A4:B4"/>
    <mergeCell ref="C3:H3"/>
    <mergeCell ref="C4:H4"/>
    <mergeCell ref="A5:B5"/>
    <mergeCell ref="A7:H7"/>
  </mergeCells>
  <pageMargins left="0.25" right="0.25" top="0.75" bottom="0.75" header="0.3" footer="0.3"/>
  <pageSetup scale="82" fitToHeight="0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6CE6E-40BE-40BF-8A90-51ACE22AA141}">
  <sheetPr codeName="Hoja5">
    <pageSetUpPr fitToPage="1"/>
  </sheetPr>
  <dimension ref="A1:I14"/>
  <sheetViews>
    <sheetView zoomScaleNormal="100" workbookViewId="0">
      <selection activeCell="A14" sqref="A14:G14"/>
    </sheetView>
  </sheetViews>
  <sheetFormatPr baseColWidth="10" defaultColWidth="11.5" defaultRowHeight="15" x14ac:dyDescent="0.2"/>
  <cols>
    <col min="1" max="1" width="13.5" customWidth="1"/>
    <col min="2" max="2" width="14.33203125" customWidth="1"/>
    <col min="3" max="3" width="28.5" customWidth="1"/>
    <col min="4" max="4" width="17.83203125" customWidth="1"/>
    <col min="5" max="5" width="10" style="1" customWidth="1"/>
    <col min="6" max="6" width="5" customWidth="1"/>
    <col min="7" max="7" width="11.1640625" style="1" customWidth="1"/>
    <col min="8" max="8" width="12.6640625" customWidth="1"/>
  </cols>
  <sheetData>
    <row r="1" spans="1:9" s="5" customFormat="1" ht="20" x14ac:dyDescent="0.2">
      <c r="A1" s="139" t="s">
        <v>68</v>
      </c>
      <c r="B1" s="139"/>
      <c r="C1" s="139"/>
      <c r="D1" s="139"/>
      <c r="E1" s="139"/>
      <c r="F1" s="139"/>
      <c r="G1" s="139"/>
      <c r="H1" s="17"/>
      <c r="I1" s="17"/>
    </row>
    <row r="2" spans="1:9" s="5" customFormat="1" ht="18.75" customHeight="1" x14ac:dyDescent="0.2">
      <c r="A2" s="140" t="s">
        <v>0</v>
      </c>
      <c r="B2" s="140"/>
      <c r="C2" s="140"/>
      <c r="D2" s="140"/>
      <c r="E2" s="140"/>
      <c r="F2" s="140"/>
      <c r="G2" s="140"/>
      <c r="H2" s="7"/>
      <c r="I2" s="7"/>
    </row>
    <row r="3" spans="1:9" s="5" customFormat="1" ht="16" x14ac:dyDescent="0.2">
      <c r="A3" s="141" t="s">
        <v>2</v>
      </c>
      <c r="B3" s="141"/>
      <c r="C3" s="141" t="s">
        <v>1</v>
      </c>
      <c r="D3" s="141"/>
      <c r="E3" s="141"/>
      <c r="F3" s="141"/>
      <c r="G3" s="141"/>
      <c r="H3" s="6"/>
      <c r="I3" s="6"/>
    </row>
    <row r="4" spans="1:9" s="5" customFormat="1" ht="16" x14ac:dyDescent="0.2">
      <c r="A4" s="141" t="s">
        <v>3</v>
      </c>
      <c r="B4" s="141"/>
      <c r="C4" s="141">
        <v>19596</v>
      </c>
      <c r="D4" s="141"/>
      <c r="E4" s="141"/>
      <c r="F4" s="141"/>
      <c r="G4" s="141"/>
      <c r="H4" s="6"/>
      <c r="I4" s="6"/>
    </row>
    <row r="5" spans="1:9" s="5" customFormat="1" ht="16" x14ac:dyDescent="0.2">
      <c r="A5" s="141" t="s">
        <v>74</v>
      </c>
      <c r="B5" s="141"/>
      <c r="C5" s="13">
        <f>'RESUMEN DE PUNTOS DE VENTA'!C4:D4</f>
        <v>2900678609</v>
      </c>
      <c r="D5" s="141" t="s">
        <v>4</v>
      </c>
      <c r="E5" s="141"/>
      <c r="F5" s="141"/>
      <c r="G5" s="19">
        <v>9244425</v>
      </c>
      <c r="H5" s="20"/>
      <c r="I5" s="20"/>
    </row>
    <row r="6" spans="1:9" s="5" customFormat="1" ht="16" x14ac:dyDescent="0.2">
      <c r="A6" s="146"/>
      <c r="B6" s="146"/>
      <c r="C6" s="146"/>
      <c r="D6" s="146"/>
      <c r="E6" s="146"/>
      <c r="F6" s="146"/>
      <c r="G6" s="146"/>
      <c r="H6" s="13"/>
      <c r="I6" s="13"/>
    </row>
    <row r="7" spans="1:9" x14ac:dyDescent="0.2">
      <c r="A7" s="149" t="s">
        <v>78</v>
      </c>
      <c r="B7" s="149"/>
      <c r="C7" s="149"/>
      <c r="D7" s="149"/>
      <c r="E7" s="149"/>
      <c r="F7" s="149"/>
      <c r="G7" s="149"/>
      <c r="H7" s="11"/>
      <c r="I7" s="11"/>
    </row>
    <row r="8" spans="1:9" x14ac:dyDescent="0.2">
      <c r="A8" s="149"/>
      <c r="B8" s="149"/>
      <c r="C8" s="149"/>
      <c r="D8" s="149"/>
      <c r="E8" s="149"/>
      <c r="F8" s="149"/>
      <c r="G8" s="149"/>
      <c r="H8" s="4"/>
      <c r="I8" s="4"/>
    </row>
    <row r="9" spans="1:9" x14ac:dyDescent="0.2">
      <c r="A9" s="142"/>
      <c r="B9" s="142"/>
      <c r="C9" s="142"/>
      <c r="D9" s="142"/>
      <c r="E9" s="142"/>
      <c r="F9" s="142"/>
      <c r="G9" s="142"/>
      <c r="H9" s="10"/>
    </row>
    <row r="10" spans="1:9" s="9" customFormat="1" ht="15" customHeight="1" x14ac:dyDescent="0.2">
      <c r="A10" s="151" t="s">
        <v>7</v>
      </c>
      <c r="B10" s="143" t="s">
        <v>70</v>
      </c>
      <c r="C10" s="143"/>
      <c r="D10" s="151" t="s">
        <v>11</v>
      </c>
      <c r="E10" s="151" t="s">
        <v>9</v>
      </c>
      <c r="F10" s="151" t="s">
        <v>8</v>
      </c>
      <c r="G10" s="151" t="s">
        <v>71</v>
      </c>
    </row>
    <row r="11" spans="1:9" s="9" customFormat="1" ht="15" customHeight="1" x14ac:dyDescent="0.2">
      <c r="A11" s="151"/>
      <c r="B11" s="144" t="s">
        <v>72</v>
      </c>
      <c r="C11" s="144"/>
      <c r="D11" s="151"/>
      <c r="E11" s="151" t="s">
        <v>73</v>
      </c>
      <c r="F11" s="151"/>
      <c r="G11" s="151"/>
    </row>
    <row r="12" spans="1:9" ht="16" x14ac:dyDescent="0.2">
      <c r="A12" s="15">
        <v>2645649</v>
      </c>
      <c r="B12" s="150" t="str">
        <f>VLOOKUP(A12,CATALOGO!$A$8:$C$36,3)</f>
        <v>funda bebe cuadrada celeste docoma</v>
      </c>
      <c r="C12" s="150"/>
      <c r="D12" s="3">
        <f>VLOOKUP(A12,CATALOGO!$A$8:$C$36,2)</f>
        <v>7441119600171</v>
      </c>
      <c r="E12" s="12">
        <v>5</v>
      </c>
      <c r="F12" s="12">
        <v>3</v>
      </c>
      <c r="G12" s="18">
        <f>E12</f>
        <v>5</v>
      </c>
    </row>
    <row r="13" spans="1:9" x14ac:dyDescent="0.2">
      <c r="A13" s="147" t="s">
        <v>77</v>
      </c>
      <c r="B13" s="148"/>
      <c r="C13" s="148"/>
      <c r="D13" s="148"/>
      <c r="E13" s="148"/>
      <c r="F13" s="148"/>
      <c r="G13" s="14">
        <f>SUM(G12:G12)</f>
        <v>5</v>
      </c>
    </row>
    <row r="14" spans="1:9" x14ac:dyDescent="0.2">
      <c r="A14" s="145"/>
      <c r="B14" s="145"/>
      <c r="C14" s="145"/>
      <c r="D14" s="145"/>
      <c r="E14" s="145"/>
      <c r="F14" s="145"/>
      <c r="G14" s="145"/>
    </row>
  </sheetData>
  <mergeCells count="21">
    <mergeCell ref="A14:G14"/>
    <mergeCell ref="A13:F13"/>
    <mergeCell ref="A7:G8"/>
    <mergeCell ref="A5:B5"/>
    <mergeCell ref="D5:F5"/>
    <mergeCell ref="A6:G6"/>
    <mergeCell ref="A9:G9"/>
    <mergeCell ref="B12:C12"/>
    <mergeCell ref="E10:E11"/>
    <mergeCell ref="A10:A11"/>
    <mergeCell ref="B10:C10"/>
    <mergeCell ref="D10:D11"/>
    <mergeCell ref="F10:F11"/>
    <mergeCell ref="G10:G11"/>
    <mergeCell ref="B11:C11"/>
    <mergeCell ref="A1:G1"/>
    <mergeCell ref="A2:G2"/>
    <mergeCell ref="A3:B3"/>
    <mergeCell ref="C3:G3"/>
    <mergeCell ref="A4:B4"/>
    <mergeCell ref="C4:G4"/>
  </mergeCells>
  <pageMargins left="0.7" right="0.7" top="0.75" bottom="0.75" header="0.3" footer="0.3"/>
  <pageSetup scale="90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676C3-9194-4491-98A2-A04A178391CF}">
  <sheetPr codeName="Hoja6"/>
  <dimension ref="A1:D75"/>
  <sheetViews>
    <sheetView topLeftCell="A54" zoomScale="115" zoomScaleNormal="115" workbookViewId="0">
      <selection activeCell="D75" sqref="A1:D75"/>
    </sheetView>
  </sheetViews>
  <sheetFormatPr baseColWidth="10" defaultColWidth="10.83203125" defaultRowHeight="15" x14ac:dyDescent="0.2"/>
  <cols>
    <col min="1" max="1" width="8.1640625" style="36" bestFit="1" customWidth="1"/>
    <col min="2" max="2" width="33" style="36" bestFit="1" customWidth="1"/>
    <col min="3" max="3" width="9.33203125" style="36" bestFit="1" customWidth="1"/>
    <col min="4" max="4" width="9.1640625" style="36" bestFit="1" customWidth="1"/>
    <col min="5" max="16384" width="10.83203125" style="25"/>
  </cols>
  <sheetData>
    <row r="1" spans="1:4" ht="19" thickBot="1" x14ac:dyDescent="0.25">
      <c r="A1" s="51" t="s">
        <v>152</v>
      </c>
      <c r="B1" s="51" t="s">
        <v>153</v>
      </c>
      <c r="C1" s="51" t="s">
        <v>170</v>
      </c>
      <c r="D1" s="51" t="s">
        <v>27</v>
      </c>
    </row>
    <row r="2" spans="1:4" x14ac:dyDescent="0.2">
      <c r="A2" s="37">
        <v>700</v>
      </c>
      <c r="B2" s="38" t="s">
        <v>14</v>
      </c>
      <c r="C2" s="38" t="s">
        <v>171</v>
      </c>
      <c r="D2" s="37" t="s">
        <v>15</v>
      </c>
    </row>
    <row r="3" spans="1:4" x14ac:dyDescent="0.2">
      <c r="A3" s="49">
        <v>717</v>
      </c>
      <c r="B3" s="50" t="s">
        <v>95</v>
      </c>
      <c r="C3" s="50" t="s">
        <v>172</v>
      </c>
      <c r="D3" s="49" t="s">
        <v>26</v>
      </c>
    </row>
    <row r="4" spans="1:4" x14ac:dyDescent="0.2">
      <c r="A4" s="49">
        <v>718</v>
      </c>
      <c r="B4" s="50" t="s">
        <v>96</v>
      </c>
      <c r="C4" s="50" t="s">
        <v>173</v>
      </c>
      <c r="D4" s="49" t="s">
        <v>26</v>
      </c>
    </row>
    <row r="5" spans="1:4" x14ac:dyDescent="0.2">
      <c r="A5" s="49">
        <v>733</v>
      </c>
      <c r="B5" s="50" t="s">
        <v>97</v>
      </c>
      <c r="C5" s="50" t="s">
        <v>174</v>
      </c>
      <c r="D5" s="49" t="s">
        <v>26</v>
      </c>
    </row>
    <row r="6" spans="1:4" x14ac:dyDescent="0.2">
      <c r="A6" s="38">
        <v>768</v>
      </c>
      <c r="B6" s="38" t="s">
        <v>75</v>
      </c>
      <c r="C6" s="38" t="s">
        <v>175</v>
      </c>
      <c r="D6" s="37" t="s">
        <v>15</v>
      </c>
    </row>
    <row r="7" spans="1:4" x14ac:dyDescent="0.2">
      <c r="A7" s="49">
        <v>769</v>
      </c>
      <c r="B7" s="50" t="s">
        <v>98</v>
      </c>
      <c r="C7" s="50" t="s">
        <v>183</v>
      </c>
      <c r="D7" s="49" t="s">
        <v>26</v>
      </c>
    </row>
    <row r="8" spans="1:4" x14ac:dyDescent="0.2">
      <c r="A8" s="49">
        <v>778</v>
      </c>
      <c r="B8" s="50" t="s">
        <v>99</v>
      </c>
      <c r="C8" s="50" t="s">
        <v>176</v>
      </c>
      <c r="D8" s="49" t="s">
        <v>26</v>
      </c>
    </row>
    <row r="9" spans="1:4" x14ac:dyDescent="0.2">
      <c r="A9" s="49">
        <v>793</v>
      </c>
      <c r="B9" s="50" t="s">
        <v>100</v>
      </c>
      <c r="C9" s="50" t="s">
        <v>177</v>
      </c>
      <c r="D9" s="49" t="s">
        <v>26</v>
      </c>
    </row>
    <row r="10" spans="1:4" x14ac:dyDescent="0.2">
      <c r="A10" s="49">
        <v>806</v>
      </c>
      <c r="B10" s="49" t="s">
        <v>101</v>
      </c>
      <c r="C10" s="49" t="s">
        <v>178</v>
      </c>
      <c r="D10" s="49" t="s">
        <v>26</v>
      </c>
    </row>
    <row r="11" spans="1:4" x14ac:dyDescent="0.2">
      <c r="A11" s="49">
        <v>827</v>
      </c>
      <c r="B11" s="49" t="s">
        <v>102</v>
      </c>
      <c r="C11" s="49" t="s">
        <v>179</v>
      </c>
      <c r="D11" s="49" t="s">
        <v>26</v>
      </c>
    </row>
    <row r="12" spans="1:4" x14ac:dyDescent="0.2">
      <c r="A12" s="49">
        <v>828</v>
      </c>
      <c r="B12" s="49" t="s">
        <v>103</v>
      </c>
      <c r="C12" s="49" t="s">
        <v>180</v>
      </c>
      <c r="D12" s="49" t="s">
        <v>26</v>
      </c>
    </row>
    <row r="13" spans="1:4" x14ac:dyDescent="0.2">
      <c r="A13" s="37">
        <v>829</v>
      </c>
      <c r="B13" s="38" t="s">
        <v>76</v>
      </c>
      <c r="C13" s="38" t="s">
        <v>181</v>
      </c>
      <c r="D13" s="37" t="s">
        <v>15</v>
      </c>
    </row>
    <row r="14" spans="1:4" x14ac:dyDescent="0.2">
      <c r="A14" s="37">
        <v>831</v>
      </c>
      <c r="B14" s="38" t="s">
        <v>79</v>
      </c>
      <c r="C14" s="38" t="s">
        <v>182</v>
      </c>
      <c r="D14" s="37" t="s">
        <v>15</v>
      </c>
    </row>
    <row r="15" spans="1:4" x14ac:dyDescent="0.2">
      <c r="A15" s="49">
        <v>930</v>
      </c>
      <c r="B15" s="49" t="s">
        <v>104</v>
      </c>
      <c r="C15" s="49" t="s">
        <v>184</v>
      </c>
      <c r="D15" s="49" t="s">
        <v>26</v>
      </c>
    </row>
    <row r="16" spans="1:4" x14ac:dyDescent="0.2">
      <c r="A16" s="49">
        <v>939</v>
      </c>
      <c r="B16" s="49" t="s">
        <v>169</v>
      </c>
      <c r="C16" s="49" t="s">
        <v>185</v>
      </c>
      <c r="D16" s="49" t="s">
        <v>26</v>
      </c>
    </row>
    <row r="17" spans="1:4" x14ac:dyDescent="0.2">
      <c r="A17" s="49">
        <v>958</v>
      </c>
      <c r="B17" s="49" t="s">
        <v>159</v>
      </c>
      <c r="C17" s="49" t="s">
        <v>186</v>
      </c>
      <c r="D17" s="49" t="s">
        <v>26</v>
      </c>
    </row>
    <row r="18" spans="1:4" ht="15.75" customHeight="1" x14ac:dyDescent="0.2">
      <c r="A18" s="49">
        <v>965</v>
      </c>
      <c r="B18" s="49" t="s">
        <v>151</v>
      </c>
      <c r="C18" s="49" t="s">
        <v>187</v>
      </c>
      <c r="D18" s="49" t="s">
        <v>26</v>
      </c>
    </row>
    <row r="19" spans="1:4" x14ac:dyDescent="0.2">
      <c r="A19" s="49">
        <v>966</v>
      </c>
      <c r="B19" s="49" t="s">
        <v>162</v>
      </c>
      <c r="C19" s="49" t="s">
        <v>188</v>
      </c>
      <c r="D19" s="49" t="s">
        <v>26</v>
      </c>
    </row>
    <row r="20" spans="1:4" x14ac:dyDescent="0.2">
      <c r="A20" s="49">
        <v>978</v>
      </c>
      <c r="B20" s="49" t="s">
        <v>161</v>
      </c>
      <c r="C20" s="49" t="s">
        <v>189</v>
      </c>
      <c r="D20" s="49" t="s">
        <v>26</v>
      </c>
    </row>
    <row r="21" spans="1:4" x14ac:dyDescent="0.2">
      <c r="A21" s="49">
        <v>981</v>
      </c>
      <c r="B21" s="49" t="s">
        <v>158</v>
      </c>
      <c r="C21" s="49" t="s">
        <v>190</v>
      </c>
      <c r="D21" s="49" t="s">
        <v>26</v>
      </c>
    </row>
    <row r="22" spans="1:4" x14ac:dyDescent="0.2">
      <c r="A22" s="49">
        <v>988</v>
      </c>
      <c r="B22" s="49" t="s">
        <v>160</v>
      </c>
      <c r="C22" s="49" t="s">
        <v>191</v>
      </c>
      <c r="D22" s="49" t="s">
        <v>26</v>
      </c>
    </row>
    <row r="23" spans="1:4" x14ac:dyDescent="0.2">
      <c r="A23" s="37">
        <v>1046</v>
      </c>
      <c r="B23" s="38" t="s">
        <v>245</v>
      </c>
      <c r="C23" s="38" t="s">
        <v>198</v>
      </c>
      <c r="D23" s="37" t="s">
        <v>15</v>
      </c>
    </row>
    <row r="24" spans="1:4" x14ac:dyDescent="0.2">
      <c r="A24" s="49">
        <v>1064</v>
      </c>
      <c r="B24" s="49" t="s">
        <v>168</v>
      </c>
      <c r="C24" s="49" t="s">
        <v>192</v>
      </c>
      <c r="D24" s="49" t="s">
        <v>26</v>
      </c>
    </row>
    <row r="25" spans="1:4" x14ac:dyDescent="0.2">
      <c r="A25" s="49">
        <v>3022</v>
      </c>
      <c r="B25" s="50" t="s">
        <v>141</v>
      </c>
      <c r="C25" s="50" t="s">
        <v>193</v>
      </c>
      <c r="D25" s="49" t="s">
        <v>26</v>
      </c>
    </row>
    <row r="26" spans="1:4" x14ac:dyDescent="0.2">
      <c r="A26" s="49">
        <v>3048</v>
      </c>
      <c r="B26" s="50" t="s">
        <v>105</v>
      </c>
      <c r="C26" s="50" t="s">
        <v>194</v>
      </c>
      <c r="D26" s="49" t="s">
        <v>26</v>
      </c>
    </row>
    <row r="27" spans="1:4" x14ac:dyDescent="0.2">
      <c r="A27" s="49">
        <v>3111</v>
      </c>
      <c r="B27" s="50" t="s">
        <v>155</v>
      </c>
      <c r="C27" s="50" t="s">
        <v>195</v>
      </c>
      <c r="D27" s="49" t="s">
        <v>26</v>
      </c>
    </row>
    <row r="28" spans="1:4" x14ac:dyDescent="0.2">
      <c r="A28" s="49">
        <v>3112</v>
      </c>
      <c r="B28" s="50" t="s">
        <v>154</v>
      </c>
      <c r="C28" s="50" t="s">
        <v>196</v>
      </c>
      <c r="D28" s="49" t="s">
        <v>26</v>
      </c>
    </row>
    <row r="29" spans="1:4" x14ac:dyDescent="0.2">
      <c r="A29" s="49">
        <v>3119</v>
      </c>
      <c r="B29" s="50" t="s">
        <v>106</v>
      </c>
      <c r="C29" s="50" t="s">
        <v>197</v>
      </c>
      <c r="D29" s="49" t="s">
        <v>26</v>
      </c>
    </row>
    <row r="30" spans="1:4" x14ac:dyDescent="0.2">
      <c r="A30" s="37">
        <v>3700</v>
      </c>
      <c r="B30" s="38" t="s">
        <v>16</v>
      </c>
      <c r="C30" s="38" t="s">
        <v>198</v>
      </c>
      <c r="D30" s="37" t="s">
        <v>15</v>
      </c>
    </row>
    <row r="31" spans="1:4" x14ac:dyDescent="0.2">
      <c r="A31" s="37">
        <v>3701</v>
      </c>
      <c r="B31" s="38" t="s">
        <v>17</v>
      </c>
      <c r="C31" s="38" t="s">
        <v>199</v>
      </c>
      <c r="D31" s="37" t="s">
        <v>15</v>
      </c>
    </row>
    <row r="32" spans="1:4" x14ac:dyDescent="0.2">
      <c r="A32" s="37">
        <v>3702</v>
      </c>
      <c r="B32" s="37" t="s">
        <v>18</v>
      </c>
      <c r="C32" s="37" t="s">
        <v>200</v>
      </c>
      <c r="D32" s="37" t="s">
        <v>15</v>
      </c>
    </row>
    <row r="33" spans="1:4" x14ac:dyDescent="0.2">
      <c r="A33" s="37">
        <v>3705</v>
      </c>
      <c r="B33" s="37" t="s">
        <v>19</v>
      </c>
      <c r="C33" s="37" t="s">
        <v>201</v>
      </c>
      <c r="D33" s="37" t="s">
        <v>15</v>
      </c>
    </row>
    <row r="34" spans="1:4" x14ac:dyDescent="0.2">
      <c r="A34" s="49">
        <v>3900</v>
      </c>
      <c r="B34" s="49" t="s">
        <v>107</v>
      </c>
      <c r="C34" s="49" t="s">
        <v>202</v>
      </c>
      <c r="D34" s="49" t="s">
        <v>26</v>
      </c>
    </row>
    <row r="35" spans="1:4" x14ac:dyDescent="0.2">
      <c r="A35" s="49">
        <v>3901</v>
      </c>
      <c r="B35" s="49" t="s">
        <v>108</v>
      </c>
      <c r="C35" s="49" t="s">
        <v>203</v>
      </c>
      <c r="D35" s="49" t="s">
        <v>26</v>
      </c>
    </row>
    <row r="36" spans="1:4" x14ac:dyDescent="0.2">
      <c r="A36" s="49">
        <v>3903</v>
      </c>
      <c r="B36" s="49" t="s">
        <v>109</v>
      </c>
      <c r="C36" s="49" t="s">
        <v>204</v>
      </c>
      <c r="D36" s="49" t="s">
        <v>26</v>
      </c>
    </row>
    <row r="37" spans="1:4" x14ac:dyDescent="0.2">
      <c r="A37" s="49">
        <v>3904</v>
      </c>
      <c r="B37" s="49" t="s">
        <v>110</v>
      </c>
      <c r="C37" s="49" t="s">
        <v>205</v>
      </c>
      <c r="D37" s="49" t="s">
        <v>26</v>
      </c>
    </row>
    <row r="38" spans="1:4" x14ac:dyDescent="0.2">
      <c r="A38" s="49">
        <v>3905</v>
      </c>
      <c r="B38" s="49" t="s">
        <v>111</v>
      </c>
      <c r="C38" s="49" t="s">
        <v>206</v>
      </c>
      <c r="D38" s="49" t="s">
        <v>26</v>
      </c>
    </row>
    <row r="39" spans="1:4" x14ac:dyDescent="0.2">
      <c r="A39" s="49">
        <v>4004</v>
      </c>
      <c r="B39" s="49" t="s">
        <v>112</v>
      </c>
      <c r="C39" s="49" t="s">
        <v>207</v>
      </c>
      <c r="D39" s="49" t="s">
        <v>26</v>
      </c>
    </row>
    <row r="40" spans="1:4" x14ac:dyDescent="0.2">
      <c r="A40" s="37">
        <v>4006</v>
      </c>
      <c r="B40" s="37" t="s">
        <v>20</v>
      </c>
      <c r="C40" s="37" t="s">
        <v>208</v>
      </c>
      <c r="D40" s="37" t="s">
        <v>15</v>
      </c>
    </row>
    <row r="41" spans="1:4" x14ac:dyDescent="0.2">
      <c r="A41" s="49">
        <v>4029</v>
      </c>
      <c r="B41" s="49" t="s">
        <v>113</v>
      </c>
      <c r="C41" s="49" t="s">
        <v>209</v>
      </c>
      <c r="D41" s="49" t="s">
        <v>26</v>
      </c>
    </row>
    <row r="42" spans="1:4" x14ac:dyDescent="0.2">
      <c r="A42" s="49">
        <v>4030</v>
      </c>
      <c r="B42" s="49" t="s">
        <v>114</v>
      </c>
      <c r="C42" s="49" t="s">
        <v>210</v>
      </c>
      <c r="D42" s="49" t="s">
        <v>26</v>
      </c>
    </row>
    <row r="43" spans="1:4" x14ac:dyDescent="0.2">
      <c r="A43" s="49">
        <v>4031</v>
      </c>
      <c r="B43" s="49" t="s">
        <v>115</v>
      </c>
      <c r="C43" s="49" t="s">
        <v>211</v>
      </c>
      <c r="D43" s="49" t="s">
        <v>26</v>
      </c>
    </row>
    <row r="44" spans="1:4" x14ac:dyDescent="0.2">
      <c r="A44" s="37">
        <v>4032</v>
      </c>
      <c r="B44" s="37" t="s">
        <v>21</v>
      </c>
      <c r="C44" s="37" t="s">
        <v>212</v>
      </c>
      <c r="D44" s="37" t="s">
        <v>15</v>
      </c>
    </row>
    <row r="45" spans="1:4" x14ac:dyDescent="0.2">
      <c r="A45" s="49">
        <v>4075</v>
      </c>
      <c r="B45" s="49" t="s">
        <v>116</v>
      </c>
      <c r="C45" s="49" t="s">
        <v>213</v>
      </c>
      <c r="D45" s="49" t="s">
        <v>26</v>
      </c>
    </row>
    <row r="46" spans="1:4" x14ac:dyDescent="0.2">
      <c r="A46" s="49">
        <v>4099</v>
      </c>
      <c r="B46" s="49" t="s">
        <v>117</v>
      </c>
      <c r="C46" s="49" t="s">
        <v>214</v>
      </c>
      <c r="D46" s="49" t="s">
        <v>26</v>
      </c>
    </row>
    <row r="47" spans="1:4" x14ac:dyDescent="0.2">
      <c r="A47" s="49">
        <v>4109</v>
      </c>
      <c r="B47" s="49" t="s">
        <v>118</v>
      </c>
      <c r="C47" s="49" t="s">
        <v>215</v>
      </c>
      <c r="D47" s="49" t="s">
        <v>26</v>
      </c>
    </row>
    <row r="48" spans="1:4" x14ac:dyDescent="0.2">
      <c r="A48" s="49">
        <v>4136</v>
      </c>
      <c r="B48" s="49" t="s">
        <v>119</v>
      </c>
      <c r="C48" s="49" t="s">
        <v>216</v>
      </c>
      <c r="D48" s="49" t="s">
        <v>26</v>
      </c>
    </row>
    <row r="49" spans="1:4" x14ac:dyDescent="0.2">
      <c r="A49" s="49">
        <v>4194</v>
      </c>
      <c r="B49" s="49" t="s">
        <v>120</v>
      </c>
      <c r="C49" s="49" t="s">
        <v>217</v>
      </c>
      <c r="D49" s="49" t="s">
        <v>26</v>
      </c>
    </row>
    <row r="50" spans="1:4" x14ac:dyDescent="0.2">
      <c r="A50" s="49">
        <v>4195</v>
      </c>
      <c r="B50" s="49" t="s">
        <v>121</v>
      </c>
      <c r="C50" s="49" t="s">
        <v>218</v>
      </c>
      <c r="D50" s="49" t="s">
        <v>26</v>
      </c>
    </row>
    <row r="51" spans="1:4" x14ac:dyDescent="0.2">
      <c r="A51" s="49">
        <v>4214</v>
      </c>
      <c r="B51" s="49" t="s">
        <v>122</v>
      </c>
      <c r="C51" s="49" t="s">
        <v>219</v>
      </c>
      <c r="D51" s="49" t="s">
        <v>26</v>
      </c>
    </row>
    <row r="52" spans="1:4" x14ac:dyDescent="0.2">
      <c r="A52" s="49">
        <v>4215</v>
      </c>
      <c r="B52" s="49" t="s">
        <v>123</v>
      </c>
      <c r="C52" s="49" t="s">
        <v>220</v>
      </c>
      <c r="D52" s="49" t="s">
        <v>26</v>
      </c>
    </row>
    <row r="53" spans="1:4" x14ac:dyDescent="0.2">
      <c r="A53" s="37">
        <v>4253</v>
      </c>
      <c r="B53" s="37" t="s">
        <v>22</v>
      </c>
      <c r="C53" s="37" t="s">
        <v>221</v>
      </c>
      <c r="D53" s="37" t="s">
        <v>15</v>
      </c>
    </row>
    <row r="54" spans="1:4" x14ac:dyDescent="0.2">
      <c r="A54" s="49">
        <v>4258</v>
      </c>
      <c r="B54" s="49" t="s">
        <v>124</v>
      </c>
      <c r="C54" s="49" t="s">
        <v>222</v>
      </c>
      <c r="D54" s="49" t="s">
        <v>26</v>
      </c>
    </row>
    <row r="55" spans="1:4" x14ac:dyDescent="0.2">
      <c r="A55" s="49">
        <v>4283</v>
      </c>
      <c r="B55" s="49" t="s">
        <v>125</v>
      </c>
      <c r="C55" s="49" t="s">
        <v>223</v>
      </c>
      <c r="D55" s="49" t="s">
        <v>26</v>
      </c>
    </row>
    <row r="56" spans="1:4" x14ac:dyDescent="0.2">
      <c r="A56" s="49">
        <v>4284</v>
      </c>
      <c r="B56" s="49" t="s">
        <v>126</v>
      </c>
      <c r="C56" s="49" t="s">
        <v>224</v>
      </c>
      <c r="D56" s="49" t="s">
        <v>26</v>
      </c>
    </row>
    <row r="57" spans="1:4" x14ac:dyDescent="0.2">
      <c r="A57" s="49">
        <v>4304</v>
      </c>
      <c r="B57" s="49" t="s">
        <v>127</v>
      </c>
      <c r="C57" s="49" t="s">
        <v>225</v>
      </c>
      <c r="D57" s="49" t="s">
        <v>26</v>
      </c>
    </row>
    <row r="58" spans="1:4" x14ac:dyDescent="0.2">
      <c r="A58" s="37">
        <v>4315</v>
      </c>
      <c r="B58" s="37" t="s">
        <v>23</v>
      </c>
      <c r="C58" s="37" t="s">
        <v>226</v>
      </c>
      <c r="D58" s="37" t="s">
        <v>15</v>
      </c>
    </row>
    <row r="59" spans="1:4" x14ac:dyDescent="0.2">
      <c r="A59" s="49">
        <v>4318</v>
      </c>
      <c r="B59" s="49" t="s">
        <v>128</v>
      </c>
      <c r="C59" s="49" t="s">
        <v>227</v>
      </c>
      <c r="D59" s="49" t="s">
        <v>26</v>
      </c>
    </row>
    <row r="60" spans="1:4" x14ac:dyDescent="0.2">
      <c r="A60" s="49">
        <v>4339</v>
      </c>
      <c r="B60" s="49" t="s">
        <v>129</v>
      </c>
      <c r="C60" s="49" t="s">
        <v>228</v>
      </c>
      <c r="D60" s="49" t="s">
        <v>26</v>
      </c>
    </row>
    <row r="61" spans="1:4" x14ac:dyDescent="0.2">
      <c r="A61" s="49">
        <v>4340</v>
      </c>
      <c r="B61" s="49" t="s">
        <v>130</v>
      </c>
      <c r="C61" s="49" t="s">
        <v>229</v>
      </c>
      <c r="D61" s="49" t="s">
        <v>26</v>
      </c>
    </row>
    <row r="62" spans="1:4" x14ac:dyDescent="0.2">
      <c r="A62" s="49">
        <v>4341</v>
      </c>
      <c r="B62" s="49" t="s">
        <v>131</v>
      </c>
      <c r="C62" s="49" t="s">
        <v>230</v>
      </c>
      <c r="D62" s="49" t="s">
        <v>26</v>
      </c>
    </row>
    <row r="63" spans="1:4" x14ac:dyDescent="0.2">
      <c r="A63" s="49">
        <v>4350</v>
      </c>
      <c r="B63" s="49" t="s">
        <v>157</v>
      </c>
      <c r="C63" s="49" t="s">
        <v>231</v>
      </c>
      <c r="D63" s="49" t="s">
        <v>26</v>
      </c>
    </row>
    <row r="64" spans="1:4" x14ac:dyDescent="0.2">
      <c r="A64" s="49">
        <v>4369</v>
      </c>
      <c r="B64" s="49" t="s">
        <v>132</v>
      </c>
      <c r="C64" s="49" t="s">
        <v>232</v>
      </c>
      <c r="D64" s="49" t="s">
        <v>26</v>
      </c>
    </row>
    <row r="65" spans="1:4" x14ac:dyDescent="0.2">
      <c r="A65" s="49">
        <v>4383</v>
      </c>
      <c r="B65" s="49" t="s">
        <v>133</v>
      </c>
      <c r="C65" s="49" t="s">
        <v>233</v>
      </c>
      <c r="D65" s="49" t="s">
        <v>26</v>
      </c>
    </row>
    <row r="66" spans="1:4" x14ac:dyDescent="0.2">
      <c r="A66" s="49">
        <v>4390</v>
      </c>
      <c r="B66" s="49" t="s">
        <v>134</v>
      </c>
      <c r="C66" s="49" t="s">
        <v>234</v>
      </c>
      <c r="D66" s="49" t="s">
        <v>26</v>
      </c>
    </row>
    <row r="67" spans="1:4" x14ac:dyDescent="0.2">
      <c r="A67" s="49">
        <v>4402</v>
      </c>
      <c r="B67" s="49" t="s">
        <v>135</v>
      </c>
      <c r="C67" s="49" t="s">
        <v>235</v>
      </c>
      <c r="D67" s="49" t="s">
        <v>26</v>
      </c>
    </row>
    <row r="68" spans="1:4" x14ac:dyDescent="0.2">
      <c r="A68" s="37">
        <v>4413</v>
      </c>
      <c r="B68" s="37" t="s">
        <v>24</v>
      </c>
      <c r="C68" s="37" t="s">
        <v>236</v>
      </c>
      <c r="D68" s="37" t="s">
        <v>15</v>
      </c>
    </row>
    <row r="69" spans="1:4" x14ac:dyDescent="0.2">
      <c r="A69" s="49">
        <v>4417</v>
      </c>
      <c r="B69" s="49" t="s">
        <v>136</v>
      </c>
      <c r="C69" s="49" t="s">
        <v>237</v>
      </c>
      <c r="D69" s="49" t="s">
        <v>26</v>
      </c>
    </row>
    <row r="70" spans="1:4" x14ac:dyDescent="0.2">
      <c r="A70" s="49">
        <v>4432</v>
      </c>
      <c r="B70" s="49" t="s">
        <v>137</v>
      </c>
      <c r="C70" s="49" t="s">
        <v>238</v>
      </c>
      <c r="D70" s="49" t="s">
        <v>26</v>
      </c>
    </row>
    <row r="71" spans="1:4" x14ac:dyDescent="0.2">
      <c r="A71" s="49">
        <v>4435</v>
      </c>
      <c r="B71" s="49" t="s">
        <v>156</v>
      </c>
      <c r="C71" s="49" t="s">
        <v>239</v>
      </c>
      <c r="D71" s="49" t="s">
        <v>26</v>
      </c>
    </row>
    <row r="72" spans="1:4" x14ac:dyDescent="0.2">
      <c r="A72" s="37">
        <v>4449</v>
      </c>
      <c r="B72" s="37" t="s">
        <v>25</v>
      </c>
      <c r="C72" s="37" t="s">
        <v>240</v>
      </c>
      <c r="D72" s="37" t="s">
        <v>15</v>
      </c>
    </row>
    <row r="73" spans="1:4" x14ac:dyDescent="0.2">
      <c r="A73" s="49">
        <v>4461</v>
      </c>
      <c r="B73" s="49" t="s">
        <v>138</v>
      </c>
      <c r="C73" s="49" t="s">
        <v>241</v>
      </c>
      <c r="D73" s="49" t="s">
        <v>26</v>
      </c>
    </row>
    <row r="74" spans="1:4" x14ac:dyDescent="0.2">
      <c r="A74" s="49">
        <v>4469</v>
      </c>
      <c r="B74" s="49" t="s">
        <v>140</v>
      </c>
      <c r="C74" s="49" t="s">
        <v>242</v>
      </c>
      <c r="D74" s="49" t="s">
        <v>26</v>
      </c>
    </row>
    <row r="75" spans="1:4" x14ac:dyDescent="0.2">
      <c r="A75" s="49">
        <v>4486</v>
      </c>
      <c r="B75" s="49" t="s">
        <v>139</v>
      </c>
      <c r="C75" s="49" t="s">
        <v>243</v>
      </c>
      <c r="D75" s="49" t="s">
        <v>26</v>
      </c>
    </row>
  </sheetData>
  <sortState xmlns:xlrd2="http://schemas.microsoft.com/office/spreadsheetml/2017/richdata2" ref="A2:D75">
    <sortCondition ref="A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B1E59-A4C6-4ABF-902C-2129C0ADFA0B}">
  <sheetPr codeName="Hoja7"/>
  <dimension ref="A1:I36"/>
  <sheetViews>
    <sheetView topLeftCell="A3" zoomScale="85" zoomScaleNormal="85" workbookViewId="0">
      <selection activeCell="C14" sqref="C14"/>
    </sheetView>
  </sheetViews>
  <sheetFormatPr baseColWidth="10" defaultColWidth="10.83203125" defaultRowHeight="15" x14ac:dyDescent="0.2"/>
  <cols>
    <col min="1" max="1" width="9" bestFit="1" customWidth="1"/>
    <col min="2" max="2" width="15.83203125" bestFit="1" customWidth="1"/>
    <col min="3" max="3" width="53.5" bestFit="1" customWidth="1"/>
    <col min="4" max="4" width="17.1640625" bestFit="1" customWidth="1"/>
    <col min="5" max="5" width="4.5" bestFit="1" customWidth="1"/>
  </cols>
  <sheetData>
    <row r="1" spans="1:9" s="5" customFormat="1" ht="22" x14ac:dyDescent="0.2">
      <c r="A1" s="152" t="s">
        <v>68</v>
      </c>
      <c r="B1" s="152"/>
      <c r="C1" s="152"/>
      <c r="D1" s="152"/>
      <c r="E1" s="152"/>
      <c r="F1" s="8"/>
      <c r="G1" s="8"/>
      <c r="H1" s="8"/>
      <c r="I1" s="8"/>
    </row>
    <row r="2" spans="1:9" s="5" customFormat="1" ht="18.75" customHeight="1" x14ac:dyDescent="0.2">
      <c r="A2" s="83" t="s">
        <v>69</v>
      </c>
      <c r="B2" s="83"/>
      <c r="C2" s="83"/>
      <c r="D2" s="83"/>
      <c r="E2" s="83"/>
      <c r="F2" s="7"/>
      <c r="G2" s="7"/>
      <c r="H2" s="7"/>
      <c r="I2" s="7"/>
    </row>
    <row r="3" spans="1:9" s="5" customFormat="1" ht="18.75" customHeight="1" x14ac:dyDescent="0.2">
      <c r="A3" s="83"/>
      <c r="B3" s="83"/>
      <c r="C3" s="83"/>
      <c r="D3" s="83"/>
      <c r="E3" s="83"/>
      <c r="F3" s="7"/>
      <c r="G3" s="7"/>
      <c r="H3" s="7"/>
      <c r="I3" s="7"/>
    </row>
    <row r="4" spans="1:9" s="5" customFormat="1" ht="16" x14ac:dyDescent="0.2">
      <c r="A4" s="85" t="s">
        <v>2</v>
      </c>
      <c r="B4" s="85"/>
      <c r="C4" s="85" t="s">
        <v>1</v>
      </c>
      <c r="D4" s="85"/>
      <c r="E4" s="85"/>
      <c r="F4" s="6"/>
      <c r="G4" s="6"/>
      <c r="H4" s="6"/>
      <c r="I4" s="6"/>
    </row>
    <row r="5" spans="1:9" s="5" customFormat="1" ht="16" x14ac:dyDescent="0.2">
      <c r="A5" s="85" t="s">
        <v>3</v>
      </c>
      <c r="B5" s="85"/>
      <c r="C5" s="85">
        <v>19596</v>
      </c>
      <c r="D5" s="85"/>
      <c r="E5" s="85"/>
      <c r="F5" s="6"/>
      <c r="G5" s="6"/>
      <c r="H5" s="6"/>
      <c r="I5" s="6"/>
    </row>
    <row r="6" spans="1:9" s="5" customFormat="1" ht="16" x14ac:dyDescent="0.2">
      <c r="A6" s="153"/>
      <c r="B6" s="153"/>
      <c r="C6" s="153"/>
      <c r="D6" s="153"/>
      <c r="E6" s="153"/>
      <c r="F6" s="6"/>
      <c r="G6" s="6"/>
      <c r="H6" s="6"/>
      <c r="I6" s="6"/>
    </row>
    <row r="7" spans="1:9" x14ac:dyDescent="0.2">
      <c r="A7" s="33" t="s">
        <v>7</v>
      </c>
      <c r="B7" s="33" t="s">
        <v>11</v>
      </c>
      <c r="C7" s="33" t="s">
        <v>28</v>
      </c>
      <c r="D7" s="33" t="s">
        <v>29</v>
      </c>
      <c r="E7" s="33" t="s">
        <v>8</v>
      </c>
    </row>
    <row r="8" spans="1:9" x14ac:dyDescent="0.2">
      <c r="A8" s="30">
        <v>2645495</v>
      </c>
      <c r="B8" s="30">
        <v>7441119600553</v>
      </c>
      <c r="C8" s="30" t="s">
        <v>30</v>
      </c>
      <c r="D8" s="34">
        <v>553</v>
      </c>
      <c r="E8" s="35">
        <v>3</v>
      </c>
    </row>
    <row r="9" spans="1:9" x14ac:dyDescent="0.2">
      <c r="A9" s="30">
        <v>2645502</v>
      </c>
      <c r="B9" s="30">
        <v>7441119600577</v>
      </c>
      <c r="C9" s="30" t="s">
        <v>31</v>
      </c>
      <c r="D9" s="34">
        <v>577</v>
      </c>
      <c r="E9" s="35">
        <v>3</v>
      </c>
    </row>
    <row r="10" spans="1:9" x14ac:dyDescent="0.2">
      <c r="A10" s="30">
        <v>2645509</v>
      </c>
      <c r="B10" s="30">
        <v>7441119600607</v>
      </c>
      <c r="C10" s="30" t="s">
        <v>32</v>
      </c>
      <c r="D10" s="34">
        <v>607</v>
      </c>
      <c r="E10" s="35">
        <v>3</v>
      </c>
    </row>
    <row r="11" spans="1:9" x14ac:dyDescent="0.2">
      <c r="A11" s="30">
        <v>2645516</v>
      </c>
      <c r="B11" s="30">
        <v>7441119600652</v>
      </c>
      <c r="C11" s="30" t="s">
        <v>58</v>
      </c>
      <c r="D11" s="34">
        <v>652</v>
      </c>
      <c r="E11" s="35">
        <v>3</v>
      </c>
    </row>
    <row r="12" spans="1:9" x14ac:dyDescent="0.2">
      <c r="A12" s="30">
        <v>2645523</v>
      </c>
      <c r="B12" s="30">
        <v>7441119600645</v>
      </c>
      <c r="C12" s="30" t="s">
        <v>33</v>
      </c>
      <c r="D12" s="34">
        <v>645</v>
      </c>
      <c r="E12" s="35">
        <v>3</v>
      </c>
    </row>
    <row r="13" spans="1:9" x14ac:dyDescent="0.2">
      <c r="A13" s="30">
        <v>2645530</v>
      </c>
      <c r="B13" s="30">
        <v>7441119600621</v>
      </c>
      <c r="C13" s="30" t="s">
        <v>34</v>
      </c>
      <c r="D13" s="34">
        <v>621</v>
      </c>
      <c r="E13" s="35">
        <v>3</v>
      </c>
    </row>
    <row r="14" spans="1:9" x14ac:dyDescent="0.2">
      <c r="A14" s="30">
        <v>2645537</v>
      </c>
      <c r="B14" s="30">
        <v>7441119600638</v>
      </c>
      <c r="C14" s="30" t="s">
        <v>35</v>
      </c>
      <c r="D14" s="34">
        <v>638</v>
      </c>
      <c r="E14" s="35">
        <v>3</v>
      </c>
    </row>
    <row r="15" spans="1:9" x14ac:dyDescent="0.2">
      <c r="A15" s="30">
        <v>2645544</v>
      </c>
      <c r="B15" s="30">
        <v>7441119600614</v>
      </c>
      <c r="C15" s="30" t="s">
        <v>36</v>
      </c>
      <c r="D15" s="34">
        <v>614</v>
      </c>
      <c r="E15" s="35">
        <v>3</v>
      </c>
    </row>
    <row r="16" spans="1:9" x14ac:dyDescent="0.2">
      <c r="A16" s="30">
        <v>2645551</v>
      </c>
      <c r="B16" s="30">
        <v>7441119600782</v>
      </c>
      <c r="C16" s="30" t="s">
        <v>37</v>
      </c>
      <c r="D16" s="34">
        <v>782</v>
      </c>
      <c r="E16" s="35">
        <v>3</v>
      </c>
    </row>
    <row r="17" spans="1:5" x14ac:dyDescent="0.2">
      <c r="A17" s="30">
        <v>2645558</v>
      </c>
      <c r="B17" s="30">
        <v>7441119600751</v>
      </c>
      <c r="C17" s="30" t="s">
        <v>38</v>
      </c>
      <c r="D17" s="34">
        <v>751</v>
      </c>
      <c r="E17" s="35">
        <v>3</v>
      </c>
    </row>
    <row r="18" spans="1:5" x14ac:dyDescent="0.2">
      <c r="A18" s="30">
        <v>2645565</v>
      </c>
      <c r="B18" s="30">
        <v>7441119600799</v>
      </c>
      <c r="C18" s="30" t="s">
        <v>39</v>
      </c>
      <c r="D18" s="34">
        <v>799</v>
      </c>
      <c r="E18" s="35">
        <v>3</v>
      </c>
    </row>
    <row r="19" spans="1:5" x14ac:dyDescent="0.2">
      <c r="A19" s="30">
        <v>2645572</v>
      </c>
      <c r="B19" s="30">
        <v>7441119600744</v>
      </c>
      <c r="C19" s="30" t="s">
        <v>40</v>
      </c>
      <c r="D19" s="34">
        <v>744</v>
      </c>
      <c r="E19" s="35">
        <v>3</v>
      </c>
    </row>
    <row r="20" spans="1:5" x14ac:dyDescent="0.2">
      <c r="A20" s="30">
        <v>2645579</v>
      </c>
      <c r="B20" s="30">
        <v>7441119600775</v>
      </c>
      <c r="C20" s="30" t="s">
        <v>41</v>
      </c>
      <c r="D20" s="34">
        <v>775</v>
      </c>
      <c r="E20" s="35">
        <v>3</v>
      </c>
    </row>
    <row r="21" spans="1:5" x14ac:dyDescent="0.2">
      <c r="A21" s="30">
        <v>2645600</v>
      </c>
      <c r="B21" s="30">
        <v>7441119600089</v>
      </c>
      <c r="C21" s="30" t="s">
        <v>42</v>
      </c>
      <c r="D21" s="34">
        <v>2374450049</v>
      </c>
      <c r="E21" s="35">
        <v>3</v>
      </c>
    </row>
    <row r="22" spans="1:5" x14ac:dyDescent="0.2">
      <c r="A22" s="30">
        <v>2645607</v>
      </c>
      <c r="B22" s="30">
        <v>7441119600065</v>
      </c>
      <c r="C22" s="30" t="s">
        <v>43</v>
      </c>
      <c r="D22" s="34">
        <v>2374450027</v>
      </c>
      <c r="E22" s="35">
        <v>3</v>
      </c>
    </row>
    <row r="23" spans="1:5" x14ac:dyDescent="0.2">
      <c r="A23" s="30">
        <v>2645621</v>
      </c>
      <c r="B23" s="30">
        <v>7441119600072</v>
      </c>
      <c r="C23" s="30" t="s">
        <v>44</v>
      </c>
      <c r="D23" s="34">
        <v>2374450038</v>
      </c>
      <c r="E23" s="35">
        <v>3</v>
      </c>
    </row>
    <row r="24" spans="1:5" x14ac:dyDescent="0.2">
      <c r="A24" s="30">
        <v>2645628</v>
      </c>
      <c r="B24" s="30">
        <v>7441119600157</v>
      </c>
      <c r="C24" s="30" t="s">
        <v>45</v>
      </c>
      <c r="D24" s="34">
        <v>1203900011</v>
      </c>
      <c r="E24" s="35">
        <v>3</v>
      </c>
    </row>
    <row r="25" spans="1:5" x14ac:dyDescent="0.2">
      <c r="A25" s="30">
        <v>2645635</v>
      </c>
      <c r="B25" s="30">
        <v>7441119600188</v>
      </c>
      <c r="C25" s="30" t="s">
        <v>46</v>
      </c>
      <c r="D25" s="34">
        <v>1203900022</v>
      </c>
      <c r="E25" s="35">
        <v>3</v>
      </c>
    </row>
    <row r="26" spans="1:5" x14ac:dyDescent="0.2">
      <c r="A26" s="30">
        <v>2645649</v>
      </c>
      <c r="B26" s="30">
        <v>7441119600171</v>
      </c>
      <c r="C26" s="30" t="s">
        <v>47</v>
      </c>
      <c r="D26" s="34">
        <v>1203900033</v>
      </c>
      <c r="E26" s="35">
        <v>3</v>
      </c>
    </row>
    <row r="27" spans="1:5" x14ac:dyDescent="0.2">
      <c r="A27" s="30">
        <v>2645656</v>
      </c>
      <c r="B27" s="30">
        <v>7441119600034</v>
      </c>
      <c r="C27" s="30" t="s">
        <v>48</v>
      </c>
      <c r="D27" s="34">
        <v>1209890021</v>
      </c>
      <c r="E27" s="35">
        <v>3</v>
      </c>
    </row>
    <row r="28" spans="1:5" x14ac:dyDescent="0.2">
      <c r="A28" s="30">
        <v>2645663</v>
      </c>
      <c r="B28" s="30">
        <v>7441119600027</v>
      </c>
      <c r="C28" s="30" t="s">
        <v>49</v>
      </c>
      <c r="D28" s="34">
        <v>1203890010</v>
      </c>
      <c r="E28" s="35">
        <v>3</v>
      </c>
    </row>
    <row r="29" spans="1:5" x14ac:dyDescent="0.2">
      <c r="A29" s="30">
        <v>2645670</v>
      </c>
      <c r="B29" s="30">
        <v>7441119600010</v>
      </c>
      <c r="C29" s="30" t="s">
        <v>50</v>
      </c>
      <c r="D29" s="34">
        <v>1203890032</v>
      </c>
      <c r="E29" s="35">
        <v>3</v>
      </c>
    </row>
    <row r="30" spans="1:5" x14ac:dyDescent="0.2">
      <c r="A30" s="30">
        <v>2647973</v>
      </c>
      <c r="B30" s="30">
        <v>7441119600768</v>
      </c>
      <c r="C30" s="30" t="s">
        <v>51</v>
      </c>
      <c r="D30" s="34">
        <v>768</v>
      </c>
      <c r="E30" s="35">
        <v>3</v>
      </c>
    </row>
    <row r="31" spans="1:5" x14ac:dyDescent="0.2">
      <c r="A31" s="30">
        <v>2648008</v>
      </c>
      <c r="B31" s="30">
        <v>7441119600058</v>
      </c>
      <c r="C31" s="30" t="s">
        <v>52</v>
      </c>
      <c r="D31" s="34">
        <v>2374450016</v>
      </c>
      <c r="E31" s="35">
        <v>3</v>
      </c>
    </row>
    <row r="32" spans="1:5" x14ac:dyDescent="0.2">
      <c r="A32" s="30">
        <v>2648015</v>
      </c>
      <c r="B32" s="30">
        <v>7441119600164</v>
      </c>
      <c r="C32" s="30" t="s">
        <v>53</v>
      </c>
      <c r="D32" s="34">
        <v>1203900044</v>
      </c>
      <c r="E32" s="35">
        <v>3</v>
      </c>
    </row>
    <row r="33" spans="1:5" x14ac:dyDescent="0.2">
      <c r="A33" s="30">
        <v>2648022</v>
      </c>
      <c r="B33" s="30">
        <v>7441119600003</v>
      </c>
      <c r="C33" s="30" t="s">
        <v>54</v>
      </c>
      <c r="D33" s="34">
        <v>1203890043</v>
      </c>
      <c r="E33" s="35">
        <v>3</v>
      </c>
    </row>
    <row r="34" spans="1:5" x14ac:dyDescent="0.2">
      <c r="A34" s="30">
        <v>2648029</v>
      </c>
      <c r="B34" s="30">
        <v>7441119600102</v>
      </c>
      <c r="C34" s="30" t="s">
        <v>55</v>
      </c>
      <c r="D34" s="34">
        <v>2374440015</v>
      </c>
      <c r="E34" s="35">
        <v>3</v>
      </c>
    </row>
    <row r="35" spans="1:5" x14ac:dyDescent="0.2">
      <c r="A35" s="30">
        <v>2648036</v>
      </c>
      <c r="B35" s="30">
        <v>7441119600133</v>
      </c>
      <c r="C35" s="30" t="s">
        <v>56</v>
      </c>
      <c r="D35" s="34">
        <v>2374420013</v>
      </c>
      <c r="E35" s="35">
        <v>3</v>
      </c>
    </row>
    <row r="36" spans="1:5" x14ac:dyDescent="0.2">
      <c r="A36" s="30">
        <v>2648043</v>
      </c>
      <c r="B36" s="30">
        <v>7441119600317</v>
      </c>
      <c r="C36" s="30" t="s">
        <v>57</v>
      </c>
      <c r="D36" s="34">
        <v>317</v>
      </c>
      <c r="E36" s="35">
        <v>3</v>
      </c>
    </row>
  </sheetData>
  <sortState xmlns:xlrd2="http://schemas.microsoft.com/office/spreadsheetml/2017/richdata2" ref="A8:E36">
    <sortCondition ref="D36"/>
  </sortState>
  <mergeCells count="8">
    <mergeCell ref="A1:E1"/>
    <mergeCell ref="A2:E2"/>
    <mergeCell ref="A4:B4"/>
    <mergeCell ref="A6:E6"/>
    <mergeCell ref="A3:E3"/>
    <mergeCell ref="A5:B5"/>
    <mergeCell ref="C4:E4"/>
    <mergeCell ref="C5:E5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F1A0-5466-4456-A287-2922BAC8E753}">
  <sheetPr codeName="Hoja8"/>
  <dimension ref="A1:F46"/>
  <sheetViews>
    <sheetView zoomScale="95" zoomScaleNormal="115" workbookViewId="0">
      <selection sqref="A1:XFD1048576"/>
    </sheetView>
  </sheetViews>
  <sheetFormatPr baseColWidth="10" defaultColWidth="11.5" defaultRowHeight="15" x14ac:dyDescent="0.2"/>
  <cols>
    <col min="1" max="16384" width="11.5" style="25"/>
  </cols>
  <sheetData>
    <row r="1" spans="1:6" x14ac:dyDescent="0.2">
      <c r="A1" s="155" t="s">
        <v>80</v>
      </c>
      <c r="B1" s="155"/>
      <c r="C1" s="155"/>
      <c r="D1" s="155"/>
      <c r="E1" s="155"/>
      <c r="F1" s="155"/>
    </row>
    <row r="2" spans="1:6" x14ac:dyDescent="0.2">
      <c r="A2" s="155"/>
      <c r="B2" s="155"/>
      <c r="C2" s="155"/>
      <c r="D2" s="155"/>
      <c r="E2" s="155"/>
      <c r="F2" s="155"/>
    </row>
    <row r="3" spans="1:6" x14ac:dyDescent="0.2">
      <c r="A3" s="154"/>
      <c r="B3" s="154"/>
      <c r="C3" s="154"/>
      <c r="D3" s="154"/>
      <c r="E3" s="154"/>
      <c r="F3" s="154"/>
    </row>
    <row r="4" spans="1:6" x14ac:dyDescent="0.2">
      <c r="A4" s="155" t="s">
        <v>81</v>
      </c>
      <c r="B4" s="155"/>
      <c r="C4" s="155"/>
      <c r="D4" s="155"/>
      <c r="E4" s="155"/>
      <c r="F4" s="155"/>
    </row>
    <row r="5" spans="1:6" x14ac:dyDescent="0.2">
      <c r="A5" s="155"/>
      <c r="B5" s="155"/>
      <c r="C5" s="155"/>
      <c r="D5" s="155"/>
      <c r="E5" s="155"/>
      <c r="F5" s="155"/>
    </row>
    <row r="6" spans="1:6" x14ac:dyDescent="0.2">
      <c r="A6" s="154"/>
      <c r="B6" s="154"/>
      <c r="C6" s="154"/>
      <c r="D6" s="154"/>
      <c r="E6" s="154"/>
      <c r="F6" s="154"/>
    </row>
    <row r="7" spans="1:6" x14ac:dyDescent="0.2">
      <c r="A7" s="155" t="s">
        <v>82</v>
      </c>
      <c r="B7" s="155"/>
      <c r="C7" s="155"/>
      <c r="D7" s="155"/>
      <c r="E7" s="155"/>
      <c r="F7" s="155"/>
    </row>
    <row r="8" spans="1:6" x14ac:dyDescent="0.2">
      <c r="A8" s="155"/>
      <c r="B8" s="155"/>
      <c r="C8" s="155"/>
      <c r="D8" s="155"/>
      <c r="E8" s="155"/>
      <c r="F8" s="155"/>
    </row>
    <row r="9" spans="1:6" x14ac:dyDescent="0.2">
      <c r="A9" s="154"/>
      <c r="B9" s="154"/>
      <c r="C9" s="154"/>
      <c r="D9" s="154"/>
      <c r="E9" s="154"/>
      <c r="F9" s="154"/>
    </row>
    <row r="10" spans="1:6" x14ac:dyDescent="0.2">
      <c r="A10" s="155" t="s">
        <v>83</v>
      </c>
      <c r="B10" s="155"/>
      <c r="C10" s="155"/>
      <c r="D10" s="155"/>
      <c r="E10" s="155"/>
      <c r="F10" s="155"/>
    </row>
    <row r="11" spans="1:6" x14ac:dyDescent="0.2">
      <c r="A11" s="155"/>
      <c r="B11" s="155"/>
      <c r="C11" s="155"/>
      <c r="D11" s="155"/>
      <c r="E11" s="155"/>
      <c r="F11" s="155"/>
    </row>
    <row r="12" spans="1:6" x14ac:dyDescent="0.2">
      <c r="A12" s="154"/>
      <c r="B12" s="154"/>
      <c r="C12" s="154"/>
      <c r="D12" s="154"/>
      <c r="E12" s="154"/>
      <c r="F12" s="154"/>
    </row>
    <row r="13" spans="1:6" x14ac:dyDescent="0.2">
      <c r="A13" s="155" t="s">
        <v>84</v>
      </c>
      <c r="B13" s="155"/>
      <c r="C13" s="155"/>
      <c r="D13" s="155"/>
      <c r="E13" s="155"/>
      <c r="F13" s="155"/>
    </row>
    <row r="14" spans="1:6" x14ac:dyDescent="0.2">
      <c r="A14" s="155"/>
      <c r="B14" s="155"/>
      <c r="C14" s="155"/>
      <c r="D14" s="155"/>
      <c r="E14" s="155"/>
      <c r="F14" s="155"/>
    </row>
    <row r="15" spans="1:6" x14ac:dyDescent="0.2">
      <c r="A15" s="154"/>
      <c r="B15" s="154"/>
      <c r="C15" s="154"/>
      <c r="D15" s="154"/>
      <c r="E15" s="154"/>
      <c r="F15" s="154"/>
    </row>
    <row r="16" spans="1:6" x14ac:dyDescent="0.2">
      <c r="A16" s="155" t="s">
        <v>85</v>
      </c>
      <c r="B16" s="155"/>
      <c r="C16" s="155"/>
      <c r="D16" s="155"/>
      <c r="E16" s="155"/>
      <c r="F16" s="155"/>
    </row>
    <row r="17" spans="1:6" x14ac:dyDescent="0.2">
      <c r="A17" s="155"/>
      <c r="B17" s="155"/>
      <c r="C17" s="155"/>
      <c r="D17" s="155"/>
      <c r="E17" s="155"/>
      <c r="F17" s="155"/>
    </row>
    <row r="18" spans="1:6" x14ac:dyDescent="0.2">
      <c r="A18" s="154"/>
      <c r="B18" s="154"/>
      <c r="C18" s="154"/>
      <c r="D18" s="154"/>
      <c r="E18" s="154"/>
      <c r="F18" s="154"/>
    </row>
    <row r="19" spans="1:6" x14ac:dyDescent="0.2">
      <c r="A19" s="155" t="s">
        <v>86</v>
      </c>
      <c r="B19" s="155"/>
      <c r="C19" s="155"/>
      <c r="D19" s="155"/>
      <c r="E19" s="155"/>
      <c r="F19" s="155"/>
    </row>
    <row r="20" spans="1:6" x14ac:dyDescent="0.2">
      <c r="A20" s="155"/>
      <c r="B20" s="155"/>
      <c r="C20" s="155"/>
      <c r="D20" s="155"/>
      <c r="E20" s="155"/>
      <c r="F20" s="155"/>
    </row>
    <row r="21" spans="1:6" x14ac:dyDescent="0.2">
      <c r="A21" s="154"/>
      <c r="B21" s="154"/>
      <c r="C21" s="154"/>
      <c r="D21" s="154"/>
      <c r="E21" s="154"/>
      <c r="F21" s="154"/>
    </row>
    <row r="22" spans="1:6" x14ac:dyDescent="0.2">
      <c r="A22" s="155" t="s">
        <v>87</v>
      </c>
      <c r="B22" s="155"/>
      <c r="C22" s="155"/>
      <c r="D22" s="155"/>
      <c r="E22" s="155"/>
      <c r="F22" s="155"/>
    </row>
    <row r="23" spans="1:6" x14ac:dyDescent="0.2">
      <c r="A23" s="155"/>
      <c r="B23" s="155"/>
      <c r="C23" s="155"/>
      <c r="D23" s="155"/>
      <c r="E23" s="155"/>
      <c r="F23" s="155"/>
    </row>
    <row r="24" spans="1:6" x14ac:dyDescent="0.2">
      <c r="A24" s="154"/>
      <c r="B24" s="154"/>
      <c r="C24" s="154"/>
      <c r="D24" s="154"/>
      <c r="E24" s="154"/>
      <c r="F24" s="154"/>
    </row>
    <row r="25" spans="1:6" x14ac:dyDescent="0.2">
      <c r="A25" s="155" t="s">
        <v>88</v>
      </c>
      <c r="B25" s="155"/>
      <c r="C25" s="155"/>
      <c r="D25" s="155"/>
      <c r="E25" s="155"/>
      <c r="F25" s="155"/>
    </row>
    <row r="26" spans="1:6" x14ac:dyDescent="0.2">
      <c r="A26" s="155"/>
      <c r="B26" s="155"/>
      <c r="C26" s="155"/>
      <c r="D26" s="155"/>
      <c r="E26" s="155"/>
      <c r="F26" s="155"/>
    </row>
    <row r="27" spans="1:6" x14ac:dyDescent="0.2">
      <c r="A27" s="154"/>
      <c r="B27" s="154"/>
      <c r="C27" s="154"/>
      <c r="D27" s="154"/>
      <c r="E27" s="154"/>
      <c r="F27" s="154"/>
    </row>
    <row r="28" spans="1:6" x14ac:dyDescent="0.2">
      <c r="A28" s="155" t="s">
        <v>89</v>
      </c>
      <c r="B28" s="155"/>
      <c r="C28" s="155"/>
      <c r="D28" s="155"/>
      <c r="E28" s="155"/>
      <c r="F28" s="155"/>
    </row>
    <row r="29" spans="1:6" x14ac:dyDescent="0.2">
      <c r="A29" s="155"/>
      <c r="B29" s="155"/>
      <c r="C29" s="155"/>
      <c r="D29" s="155"/>
      <c r="E29" s="155"/>
      <c r="F29" s="155"/>
    </row>
    <row r="30" spans="1:6" x14ac:dyDescent="0.2">
      <c r="A30" s="154"/>
      <c r="B30" s="154"/>
      <c r="C30" s="154"/>
      <c r="D30" s="154"/>
      <c r="E30" s="154"/>
      <c r="F30" s="154"/>
    </row>
    <row r="31" spans="1:6" x14ac:dyDescent="0.2">
      <c r="A31" s="155" t="s">
        <v>90</v>
      </c>
      <c r="B31" s="155"/>
      <c r="C31" s="155"/>
      <c r="D31" s="155"/>
      <c r="E31" s="155"/>
      <c r="F31" s="155"/>
    </row>
    <row r="32" spans="1:6" x14ac:dyDescent="0.2">
      <c r="A32" s="155"/>
      <c r="B32" s="155"/>
      <c r="C32" s="155"/>
      <c r="D32" s="155"/>
      <c r="E32" s="155"/>
      <c r="F32" s="155"/>
    </row>
    <row r="33" spans="1:6" x14ac:dyDescent="0.2">
      <c r="A33" s="154"/>
      <c r="B33" s="154"/>
      <c r="C33" s="154"/>
      <c r="D33" s="154"/>
      <c r="E33" s="154"/>
      <c r="F33" s="154"/>
    </row>
    <row r="34" spans="1:6" x14ac:dyDescent="0.2">
      <c r="A34" s="155" t="s">
        <v>91</v>
      </c>
      <c r="B34" s="155"/>
      <c r="C34" s="155"/>
      <c r="D34" s="155"/>
      <c r="E34" s="155"/>
      <c r="F34" s="155"/>
    </row>
    <row r="35" spans="1:6" x14ac:dyDescent="0.2">
      <c r="A35" s="155"/>
      <c r="B35" s="155"/>
      <c r="C35" s="155"/>
      <c r="D35" s="155"/>
      <c r="E35" s="155"/>
      <c r="F35" s="155"/>
    </row>
    <row r="36" spans="1:6" x14ac:dyDescent="0.2">
      <c r="A36" s="154"/>
      <c r="B36" s="154"/>
      <c r="C36" s="154"/>
      <c r="D36" s="154"/>
      <c r="E36" s="154"/>
      <c r="F36" s="154"/>
    </row>
    <row r="37" spans="1:6" x14ac:dyDescent="0.2">
      <c r="A37" s="155" t="s">
        <v>92</v>
      </c>
      <c r="B37" s="155"/>
      <c r="C37" s="155"/>
      <c r="D37" s="155"/>
      <c r="E37" s="155"/>
      <c r="F37" s="155"/>
    </row>
    <row r="38" spans="1:6" x14ac:dyDescent="0.2">
      <c r="A38" s="155"/>
      <c r="B38" s="155"/>
      <c r="C38" s="155"/>
      <c r="D38" s="155"/>
      <c r="E38" s="155"/>
      <c r="F38" s="155"/>
    </row>
    <row r="39" spans="1:6" x14ac:dyDescent="0.2">
      <c r="A39" s="154"/>
      <c r="B39" s="154"/>
      <c r="C39" s="154"/>
      <c r="D39" s="154"/>
      <c r="E39" s="154"/>
      <c r="F39" s="154"/>
    </row>
    <row r="40" spans="1:6" x14ac:dyDescent="0.2">
      <c r="A40" s="155" t="s">
        <v>93</v>
      </c>
      <c r="B40" s="155"/>
      <c r="C40" s="155"/>
      <c r="D40" s="155"/>
      <c r="E40" s="155"/>
      <c r="F40" s="155"/>
    </row>
    <row r="41" spans="1:6" x14ac:dyDescent="0.2">
      <c r="A41" s="155"/>
      <c r="B41" s="155"/>
      <c r="C41" s="155"/>
      <c r="D41" s="155"/>
      <c r="E41" s="155"/>
      <c r="F41" s="155"/>
    </row>
    <row r="42" spans="1:6" x14ac:dyDescent="0.2">
      <c r="A42" s="154"/>
      <c r="B42" s="154"/>
      <c r="C42" s="154"/>
      <c r="D42" s="154"/>
      <c r="E42" s="154"/>
      <c r="F42" s="154"/>
    </row>
    <row r="43" spans="1:6" x14ac:dyDescent="0.2">
      <c r="A43" s="155" t="s">
        <v>94</v>
      </c>
      <c r="B43" s="155"/>
      <c r="C43" s="155"/>
      <c r="D43" s="155"/>
      <c r="E43" s="155"/>
      <c r="F43" s="155"/>
    </row>
    <row r="44" spans="1:6" x14ac:dyDescent="0.2">
      <c r="A44" s="155"/>
      <c r="B44" s="155"/>
      <c r="C44" s="155"/>
      <c r="D44" s="155"/>
      <c r="E44" s="155"/>
      <c r="F44" s="155"/>
    </row>
    <row r="45" spans="1:6" x14ac:dyDescent="0.2">
      <c r="A45" s="154"/>
      <c r="B45" s="154"/>
      <c r="C45" s="154"/>
      <c r="D45" s="154"/>
      <c r="E45" s="154"/>
      <c r="F45" s="154"/>
    </row>
    <row r="46" spans="1:6" x14ac:dyDescent="0.2">
      <c r="A46" s="154"/>
      <c r="B46" s="154"/>
      <c r="C46" s="154"/>
      <c r="D46" s="154"/>
      <c r="E46" s="154"/>
      <c r="F46" s="154"/>
    </row>
  </sheetData>
  <mergeCells count="31">
    <mergeCell ref="A18:F18"/>
    <mergeCell ref="A1:F2"/>
    <mergeCell ref="A3:F3"/>
    <mergeCell ref="A4:F5"/>
    <mergeCell ref="A6:F6"/>
    <mergeCell ref="A7:F8"/>
    <mergeCell ref="A9:F9"/>
    <mergeCell ref="A10:F11"/>
    <mergeCell ref="A12:F12"/>
    <mergeCell ref="A13:F14"/>
    <mergeCell ref="A15:F15"/>
    <mergeCell ref="A16:F17"/>
    <mergeCell ref="A36:F36"/>
    <mergeCell ref="A19:F20"/>
    <mergeCell ref="A21:F21"/>
    <mergeCell ref="A22:F23"/>
    <mergeCell ref="A24:F24"/>
    <mergeCell ref="A25:F26"/>
    <mergeCell ref="A27:F27"/>
    <mergeCell ref="A28:F29"/>
    <mergeCell ref="A30:F30"/>
    <mergeCell ref="A31:F32"/>
    <mergeCell ref="A33:F33"/>
    <mergeCell ref="A34:F35"/>
    <mergeCell ref="A46:F46"/>
    <mergeCell ref="A37:F38"/>
    <mergeCell ref="A39:F39"/>
    <mergeCell ref="A40:F41"/>
    <mergeCell ref="A42:F42"/>
    <mergeCell ref="A43:F44"/>
    <mergeCell ref="A45:F45"/>
  </mergeCells>
  <pageMargins left="0.7" right="0.7" top="0.75" bottom="0.75" header="0.3" footer="0.3"/>
  <pageSetup orientation="portrait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479CA-EC6F-482D-A3D7-17E0DCC17F20}">
  <sheetPr codeName="Hoja9"/>
  <dimension ref="A1:I13"/>
  <sheetViews>
    <sheetView zoomScale="115" zoomScaleNormal="115" workbookViewId="0">
      <selection activeCell="C6" sqref="C6"/>
    </sheetView>
  </sheetViews>
  <sheetFormatPr baseColWidth="10" defaultColWidth="10.83203125" defaultRowHeight="15" x14ac:dyDescent="0.2"/>
  <cols>
    <col min="1" max="1" width="2.6640625" customWidth="1"/>
    <col min="2" max="2" width="13.83203125" customWidth="1"/>
    <col min="3" max="3" width="48.33203125" customWidth="1"/>
    <col min="4" max="4" width="15.83203125" bestFit="1" customWidth="1"/>
    <col min="5" max="5" width="5.5" customWidth="1"/>
    <col min="7" max="7" width="7.6640625" customWidth="1"/>
    <col min="8" max="8" width="3.33203125" customWidth="1"/>
  </cols>
  <sheetData>
    <row r="1" spans="1:9" s="28" customFormat="1" ht="15" customHeight="1" x14ac:dyDescent="0.2">
      <c r="A1" s="168" t="s">
        <v>59</v>
      </c>
      <c r="B1" s="169"/>
      <c r="C1" s="169"/>
      <c r="D1" s="169"/>
      <c r="E1" s="169"/>
      <c r="F1" s="169"/>
      <c r="G1" s="169"/>
      <c r="H1" s="169"/>
      <c r="I1" s="170"/>
    </row>
    <row r="2" spans="1:9" s="28" customFormat="1" ht="15" customHeight="1" x14ac:dyDescent="0.2">
      <c r="A2" s="171" t="s">
        <v>60</v>
      </c>
      <c r="B2" s="172"/>
      <c r="C2" s="172"/>
      <c r="D2" s="172"/>
      <c r="E2" s="172"/>
      <c r="F2" s="172"/>
      <c r="G2" s="172"/>
      <c r="H2" s="172"/>
      <c r="I2" s="173"/>
    </row>
    <row r="3" spans="1:9" s="28" customFormat="1" ht="18.75" customHeight="1" x14ac:dyDescent="0.2">
      <c r="A3" s="156" t="s">
        <v>61</v>
      </c>
      <c r="B3" s="157"/>
      <c r="C3" s="158">
        <v>3022</v>
      </c>
      <c r="D3" s="158"/>
      <c r="E3" s="158"/>
      <c r="F3" s="159"/>
      <c r="G3" s="42" t="s">
        <v>62</v>
      </c>
      <c r="H3" s="174">
        <f>'RESUMEN DE PUNTOS DE VENTA'!$C$4</f>
        <v>2900678609</v>
      </c>
      <c r="I3" s="175"/>
    </row>
    <row r="4" spans="1:9" s="28" customFormat="1" ht="18.75" customHeight="1" x14ac:dyDescent="0.2">
      <c r="A4" s="156" t="s">
        <v>63</v>
      </c>
      <c r="B4" s="157"/>
      <c r="C4" s="158" t="str">
        <f>UPPER(VLOOKUP(C3,'PUNTOS DE VENTA'!$A$1:$B$75,2))</f>
        <v>MAXI CENTRO COMERCIAL HATILLO</v>
      </c>
      <c r="D4" s="158"/>
      <c r="E4" s="158"/>
      <c r="F4" s="158"/>
      <c r="G4" s="158"/>
      <c r="H4" s="158"/>
      <c r="I4" s="159"/>
    </row>
    <row r="5" spans="1:9" s="28" customFormat="1" ht="22.5" customHeight="1" x14ac:dyDescent="0.2">
      <c r="A5" s="164" t="s">
        <v>7</v>
      </c>
      <c r="B5" s="165"/>
      <c r="C5" s="43" t="s">
        <v>28</v>
      </c>
      <c r="D5" s="44" t="s">
        <v>11</v>
      </c>
      <c r="E5" s="44" t="s">
        <v>8</v>
      </c>
      <c r="F5" s="46" t="s">
        <v>64</v>
      </c>
      <c r="G5" s="166" t="s">
        <v>65</v>
      </c>
      <c r="H5" s="167"/>
      <c r="I5" s="45" t="s">
        <v>66</v>
      </c>
    </row>
    <row r="6" spans="1:9" s="28" customFormat="1" x14ac:dyDescent="0.2">
      <c r="A6" s="32">
        <v>1</v>
      </c>
      <c r="B6" s="30" t="str">
        <f>IF(SUMIFS('RESUMEN DE PUNTOS DE VENTA'!C$8:C$145,'RESUMEN DE PUNTOS DE VENTA'!A$8:A$145,C3,'RESUMEN DE PUNTOS DE VENTA'!C$8:C$145,"2645516") = 2645516, 2645516, IF(SUMIFS('RESUMEN DE PUNTOS DE VENTA'!C$8:C$145,'RESUMEN DE PUNTOS DE VENTA'!A$8:A$145,C3,'RESUMEN DE PUNTOS DE VENTA'!C$8:C$145,"2647973") = 2647973, 2647973, ""))</f>
        <v/>
      </c>
      <c r="C6" s="31" t="str">
        <f>IF(B6&lt;&gt;"",UPPER(VLOOKUP(B6,CATALOGO!$A$8:$E$36,3)),"")</f>
        <v/>
      </c>
      <c r="D6" s="31" t="str">
        <f>IF(B6&lt;&gt;"",VLOOKUP(B6,CATALOGO!$A$8:$E$36,2),"")</f>
        <v/>
      </c>
      <c r="E6" s="29" t="str">
        <f>IF(B6&lt;&gt;"",VLOOKUP(B6,CATALOGO!$A$8:$E$36,5),"")</f>
        <v/>
      </c>
      <c r="F6" s="29" t="str">
        <f>IF(B6&lt;&gt;"",SUMIFS('RESUMEN DE PUNTOS DE VENTA'!G$8:G$145,'RESUMEN DE PUNTOS DE VENTA'!A$8:A$145,C3,'RESUMEN DE PUNTOS DE VENTA'!C$8:C$145,CROSSDOCKING!B6),"")</f>
        <v/>
      </c>
      <c r="G6" s="107" t="str">
        <f>IF(B6&lt;&gt;"",SUMIFS('RESUMEN DE PUNTOS DE VENTA'!H$8:H$145,'RESUMEN DE PUNTOS DE VENTA'!A$8:A$145,C3,'RESUMEN DE PUNTOS DE VENTA'!C$8:C$145,CROSSDOCKING!B6),"")</f>
        <v/>
      </c>
      <c r="H6" s="108" t="str">
        <f>IF(D6&lt;&gt;"",SUMIFS('RESUMEN DE PUNTOS DE VENTA'!#REF!,'RESUMEN DE PUNTOS DE VENTA'!C8:C145,E3,'RESUMEN DE PUNTOS DE VENTA'!E8:E145,CROSSDOCKING!D6),"")</f>
        <v/>
      </c>
      <c r="I6" s="29" t="str">
        <f>IF(B6&lt;&gt;"",F6-G6,"")</f>
        <v/>
      </c>
    </row>
    <row r="7" spans="1:9" s="28" customFormat="1" x14ac:dyDescent="0.2">
      <c r="A7" s="32">
        <v>2</v>
      </c>
      <c r="B7" s="30" t="str">
        <f>IF(AND(B6&lt;&gt;"",B6&lt;&gt;2647973),IF(SUMIFS('RESUMEN DE PUNTOS DE VENTA'!C$8:C$145,'RESUMEN DE PUNTOS DE VENTA'!A$8:A$145,C3,'RESUMEN DE PUNTOS DE VENTA'!C$8:C$145,"2647973")=2647973,2647973,""), "")</f>
        <v/>
      </c>
      <c r="C7" s="31" t="str">
        <f>IF(B7&lt;&gt;"",UPPER(VLOOKUP(B7,CATALOGO!$A$8:$E$36,3)),"")</f>
        <v/>
      </c>
      <c r="D7" s="31" t="str">
        <f>IF(B7&lt;&gt;"",VLOOKUP(B7,CATALOGO!$A$8:$E$36,2),"")</f>
        <v/>
      </c>
      <c r="E7" s="29" t="str">
        <f>IF(B7&lt;&gt;"",VLOOKUP(B7,CATALOGO!$A$8:$E$36,5),"")</f>
        <v/>
      </c>
      <c r="F7" s="29" t="str">
        <f>IF(B7&lt;&gt;"",SUMIFS('RESUMEN DE PUNTOS DE VENTA'!G$8:G$145,'RESUMEN DE PUNTOS DE VENTA'!A$8:A$145,C3,'RESUMEN DE PUNTOS DE VENTA'!C$8:C$145,CROSSDOCKING!B7),"")</f>
        <v/>
      </c>
      <c r="G7" s="107" t="str">
        <f>IF(B7&lt;&gt;"",SUMIFS('RESUMEN DE PUNTOS DE VENTA'!H$8:H$145,'RESUMEN DE PUNTOS DE VENTA'!A$8:A$145,C3,'RESUMEN DE PUNTOS DE VENTA'!C$8:C$145,CROSSDOCKING!B7),"")</f>
        <v/>
      </c>
      <c r="H7" s="108" t="str">
        <f>IF(D7&lt;&gt;"",SUMIFS('RESUMEN DE PUNTOS DE VENTA'!#REF!,'RESUMEN DE PUNTOS DE VENTA'!C8:C145,E4,'RESUMEN DE PUNTOS DE VENTA'!E8:E145,CROSSDOCKING!D7),"")</f>
        <v/>
      </c>
      <c r="I7" s="29" t="str">
        <f t="shared" ref="I7:I8" si="0">IF(B7&lt;&gt;"",F7-G7,"")</f>
        <v/>
      </c>
    </row>
    <row r="8" spans="1:9" s="28" customFormat="1" x14ac:dyDescent="0.2">
      <c r="A8" s="32">
        <v>3</v>
      </c>
      <c r="B8" s="30"/>
      <c r="C8" s="31" t="str">
        <f>IF(B8&lt;&gt;"",UPPER(VLOOKUP(B8,CATALOGO!$A$8:$E$36,3)),"")</f>
        <v/>
      </c>
      <c r="D8" s="31" t="str">
        <f>IF(B8&lt;&gt;"",VLOOKUP(B8,CATALOGO!$A$8:$E$36,2),"")</f>
        <v/>
      </c>
      <c r="E8" s="29" t="str">
        <f>IF(B8&lt;&gt;"",VLOOKUP(B8,CATALOGO!$A$8:$E$36,5),"")</f>
        <v/>
      </c>
      <c r="F8" s="29" t="str">
        <f>IF(B8&lt;&gt;"",SUMIFS('RESUMEN DE PUNTOS DE VENTA'!G$8:G$145,'RESUMEN DE PUNTOS DE VENTA'!A$8:A$145,C3,'RESUMEN DE PUNTOS DE VENTA'!C$8:C$145,CROSSDOCKING!B8),"")</f>
        <v/>
      </c>
      <c r="G8" s="107" t="str">
        <f>IF(B8&lt;&gt;"",SUMIFS('RESUMEN DE PUNTOS DE VENTA'!H$8:H$145,'RESUMEN DE PUNTOS DE VENTA'!A$8:A$145,C3,'RESUMEN DE PUNTOS DE VENTA'!C$8:C$145,CROSSDOCKING!B8),"")</f>
        <v/>
      </c>
      <c r="H8" s="108" t="str">
        <f>IF(D8&lt;&gt;"",SUMIFS('RESUMEN DE PUNTOS DE VENTA'!#REF!,'RESUMEN DE PUNTOS DE VENTA'!C9:C145,E5,'RESUMEN DE PUNTOS DE VENTA'!E9:E145,CROSSDOCKING!D8),"")</f>
        <v/>
      </c>
      <c r="I8" s="29" t="str">
        <f t="shared" si="0"/>
        <v/>
      </c>
    </row>
    <row r="9" spans="1:9" s="28" customFormat="1" ht="15" customHeight="1" x14ac:dyDescent="0.2">
      <c r="A9" s="109" t="s">
        <v>67</v>
      </c>
      <c r="B9" s="110"/>
      <c r="C9" s="110"/>
      <c r="D9" s="110"/>
      <c r="E9" s="111"/>
      <c r="F9" s="29">
        <f>SUM(F6:F8)</f>
        <v>0</v>
      </c>
      <c r="G9" s="107">
        <f>SUM(G6:G8)</f>
        <v>0</v>
      </c>
      <c r="H9" s="108"/>
      <c r="I9" s="29">
        <f>SUM(I6:I8)</f>
        <v>0</v>
      </c>
    </row>
    <row r="10" spans="1:9" s="28" customFormat="1" ht="11.25" customHeight="1" x14ac:dyDescent="0.2">
      <c r="A10" s="109"/>
      <c r="B10" s="110"/>
      <c r="C10" s="110"/>
      <c r="D10" s="110"/>
      <c r="E10" s="110"/>
      <c r="F10" s="110"/>
      <c r="G10" s="110"/>
      <c r="H10" s="110"/>
      <c r="I10" s="111"/>
    </row>
    <row r="11" spans="1:9" s="28" customFormat="1" x14ac:dyDescent="0.2">
      <c r="A11" s="160" t="s">
        <v>147</v>
      </c>
      <c r="B11" s="161"/>
      <c r="C11" s="47">
        <f>COUNTIF($A$1:I9, "TOTAL")</f>
        <v>1</v>
      </c>
      <c r="D11" s="161" t="s">
        <v>146</v>
      </c>
      <c r="E11" s="161"/>
      <c r="F11" s="162">
        <f>CAJAS!$C$21</f>
        <v>33</v>
      </c>
      <c r="G11" s="162"/>
      <c r="H11" s="162"/>
      <c r="I11" s="163"/>
    </row>
    <row r="12" spans="1:9" s="28" customFormat="1" ht="12.75" customHeight="1" thickBot="1" x14ac:dyDescent="0.25">
      <c r="A12" s="138"/>
      <c r="B12" s="138"/>
      <c r="C12" s="138"/>
      <c r="D12" s="138"/>
      <c r="E12" s="138"/>
      <c r="F12" s="138"/>
      <c r="G12" s="138"/>
      <c r="H12" s="138"/>
      <c r="I12" s="138"/>
    </row>
    <row r="13" spans="1:9" ht="16" thickTop="1" x14ac:dyDescent="0.2"/>
  </sheetData>
  <mergeCells count="19">
    <mergeCell ref="A1:I1"/>
    <mergeCell ref="A2:I2"/>
    <mergeCell ref="A3:B3"/>
    <mergeCell ref="C3:F3"/>
    <mergeCell ref="H3:I3"/>
    <mergeCell ref="G9:H9"/>
    <mergeCell ref="A9:E9"/>
    <mergeCell ref="A10:I10"/>
    <mergeCell ref="A12:I12"/>
    <mergeCell ref="A4:B4"/>
    <mergeCell ref="C4:I4"/>
    <mergeCell ref="A11:B11"/>
    <mergeCell ref="D11:E11"/>
    <mergeCell ref="F11:I11"/>
    <mergeCell ref="A5:B5"/>
    <mergeCell ref="G5:H5"/>
    <mergeCell ref="G6:H6"/>
    <mergeCell ref="G7:H7"/>
    <mergeCell ref="G8:H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4AFFC-BF30-4113-AED1-942C988D3076}">
  <sheetPr codeName="Hoja10"/>
  <dimension ref="A1:J12"/>
  <sheetViews>
    <sheetView zoomScaleNormal="100" workbookViewId="0">
      <selection activeCell="A3" sqref="A3:XFD7"/>
    </sheetView>
  </sheetViews>
  <sheetFormatPr baseColWidth="10" defaultColWidth="10.83203125" defaultRowHeight="15" x14ac:dyDescent="0.2"/>
  <cols>
    <col min="1" max="1" width="10.83203125" style="25"/>
    <col min="2" max="2" width="34.83203125" style="25" bestFit="1" customWidth="1"/>
    <col min="3" max="3" width="14.1640625" style="25" bestFit="1" customWidth="1"/>
    <col min="4" max="4" width="46.5" style="25" bestFit="1" customWidth="1"/>
    <col min="5" max="5" width="15.83203125" style="25" bestFit="1" customWidth="1"/>
    <col min="6" max="6" width="4.5" style="25" bestFit="1" customWidth="1"/>
    <col min="7" max="7" width="10.5" style="26" customWidth="1"/>
    <col min="8" max="8" width="10.33203125" style="26" customWidth="1"/>
    <col min="9" max="10" width="11.5" style="27"/>
    <col min="11" max="16384" width="10.83203125" style="25"/>
  </cols>
  <sheetData>
    <row r="1" spans="1:8" s="21" customFormat="1" ht="22" x14ac:dyDescent="0.2">
      <c r="A1" s="182" t="s">
        <v>68</v>
      </c>
      <c r="B1" s="182"/>
      <c r="C1" s="182"/>
      <c r="D1" s="182"/>
      <c r="E1" s="182"/>
      <c r="F1" s="182"/>
      <c r="G1" s="182"/>
      <c r="H1" s="182"/>
    </row>
    <row r="2" spans="1:8" s="21" customFormat="1" ht="18.75" customHeight="1" x14ac:dyDescent="0.2">
      <c r="A2" s="183" t="s">
        <v>0</v>
      </c>
      <c r="B2" s="183"/>
      <c r="C2" s="183"/>
      <c r="D2" s="183"/>
      <c r="E2" s="183"/>
      <c r="F2" s="183"/>
      <c r="G2" s="183"/>
      <c r="H2" s="183"/>
    </row>
    <row r="3" spans="1:8" s="21" customFormat="1" ht="17" x14ac:dyDescent="0.2">
      <c r="A3" s="83"/>
      <c r="B3" s="83"/>
      <c r="C3" s="83"/>
      <c r="D3" s="83"/>
      <c r="E3" s="83"/>
      <c r="F3" s="83"/>
      <c r="G3" s="83"/>
      <c r="H3" s="83"/>
    </row>
    <row r="4" spans="1:8" s="21" customFormat="1" ht="16" x14ac:dyDescent="0.2">
      <c r="A4" s="87" t="s">
        <v>2</v>
      </c>
      <c r="B4" s="87"/>
      <c r="C4" s="85" t="s">
        <v>1</v>
      </c>
      <c r="D4" s="85"/>
      <c r="E4" s="86" t="s">
        <v>144</v>
      </c>
      <c r="F4" s="86"/>
      <c r="G4" s="84">
        <v>40334298</v>
      </c>
      <c r="H4" s="84"/>
    </row>
    <row r="5" spans="1:8" s="21" customFormat="1" ht="16" x14ac:dyDescent="0.2">
      <c r="A5" s="87" t="s">
        <v>3</v>
      </c>
      <c r="B5" s="87"/>
      <c r="C5" s="85">
        <v>19596262</v>
      </c>
      <c r="D5" s="85"/>
      <c r="E5" s="85"/>
      <c r="F5" s="85"/>
      <c r="G5" s="85"/>
      <c r="H5" s="85"/>
    </row>
    <row r="6" spans="1:8" s="21" customFormat="1" ht="16" x14ac:dyDescent="0.2">
      <c r="A6" s="87" t="s">
        <v>74</v>
      </c>
      <c r="B6" s="87"/>
      <c r="C6" s="85">
        <v>2900674301</v>
      </c>
      <c r="D6" s="85"/>
      <c r="E6" s="86" t="s">
        <v>145</v>
      </c>
      <c r="F6" s="86"/>
      <c r="G6" s="84">
        <v>26</v>
      </c>
      <c r="H6" s="84"/>
    </row>
    <row r="7" spans="1:8" s="21" customFormat="1" ht="16" x14ac:dyDescent="0.2">
      <c r="A7" s="82"/>
      <c r="B7" s="82"/>
      <c r="C7" s="82"/>
      <c r="D7" s="82"/>
      <c r="E7" s="82"/>
      <c r="F7" s="82"/>
      <c r="G7" s="82"/>
      <c r="H7" s="82"/>
    </row>
    <row r="8" spans="1:8" s="28" customFormat="1" ht="15" customHeight="1" x14ac:dyDescent="0.2">
      <c r="A8" s="177" t="s">
        <v>5</v>
      </c>
      <c r="B8" s="177" t="s">
        <v>6</v>
      </c>
      <c r="C8" s="177" t="s">
        <v>7</v>
      </c>
      <c r="D8" s="177" t="s">
        <v>12</v>
      </c>
      <c r="E8" s="177" t="s">
        <v>11</v>
      </c>
      <c r="F8" s="177" t="s">
        <v>8</v>
      </c>
      <c r="G8" s="177" t="s">
        <v>9</v>
      </c>
      <c r="H8" s="177" t="s">
        <v>10</v>
      </c>
    </row>
    <row r="9" spans="1:8" s="28" customFormat="1" x14ac:dyDescent="0.2">
      <c r="A9" s="178"/>
      <c r="B9" s="178"/>
      <c r="C9" s="178"/>
      <c r="D9" s="178"/>
      <c r="E9" s="178"/>
      <c r="F9" s="178"/>
      <c r="G9" s="178"/>
      <c r="H9" s="178"/>
    </row>
    <row r="10" spans="1:8" s="22" customFormat="1" x14ac:dyDescent="0.2">
      <c r="A10" s="39">
        <v>3022</v>
      </c>
      <c r="B10" s="39" t="str">
        <f>VLOOKUP(A10,'PUNTOS DE VENTA'!A$2:B$75,2)</f>
        <v>Maxi Centro Comercial Hatillo</v>
      </c>
      <c r="C10" s="39">
        <v>2647973</v>
      </c>
      <c r="D10" s="39" t="str">
        <f>VLOOKUP(C10,CATALOGO!$A$8:$C$36,3)</f>
        <v>almohada bebe sencilla estampada</v>
      </c>
      <c r="E10" s="24">
        <f>VLOOKUP(C10,CATALOGO!$A$8:$C$36,2)</f>
        <v>7441119600768</v>
      </c>
      <c r="F10" s="24">
        <v>3</v>
      </c>
      <c r="G10" s="39">
        <v>1</v>
      </c>
      <c r="H10" s="39">
        <f>G10</f>
        <v>1</v>
      </c>
    </row>
    <row r="11" spans="1:8" s="22" customFormat="1" x14ac:dyDescent="0.2">
      <c r="A11" s="179" t="s">
        <v>13</v>
      </c>
      <c r="B11" s="180"/>
      <c r="C11" s="180"/>
      <c r="D11" s="180"/>
      <c r="E11" s="180"/>
      <c r="F11" s="180"/>
      <c r="G11" s="180"/>
      <c r="H11" s="181"/>
    </row>
    <row r="12" spans="1:8" s="25" customFormat="1" x14ac:dyDescent="0.2">
      <c r="A12" s="176"/>
      <c r="B12" s="176"/>
      <c r="C12" s="176"/>
      <c r="D12" s="176"/>
      <c r="E12" s="176"/>
      <c r="F12" s="176"/>
      <c r="G12" s="176"/>
      <c r="H12" s="176"/>
    </row>
  </sheetData>
  <mergeCells count="24">
    <mergeCell ref="A4:B4"/>
    <mergeCell ref="A1:H1"/>
    <mergeCell ref="A2:H2"/>
    <mergeCell ref="A3:H3"/>
    <mergeCell ref="C4:D4"/>
    <mergeCell ref="E4:F4"/>
    <mergeCell ref="G4:H4"/>
    <mergeCell ref="A5:B5"/>
    <mergeCell ref="A6:B6"/>
    <mergeCell ref="C5:H5"/>
    <mergeCell ref="C6:D6"/>
    <mergeCell ref="E6:F6"/>
    <mergeCell ref="G6:H6"/>
    <mergeCell ref="A7:H7"/>
    <mergeCell ref="A8:A9"/>
    <mergeCell ref="B8:B9"/>
    <mergeCell ref="C8:C9"/>
    <mergeCell ref="D8:D9"/>
    <mergeCell ref="A12:H12"/>
    <mergeCell ref="E8:E9"/>
    <mergeCell ref="F8:F9"/>
    <mergeCell ref="G8:G9"/>
    <mergeCell ref="H8:H9"/>
    <mergeCell ref="A11:H1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RESUMEN DE PUNTOS DE VENTA</vt:lpstr>
      <vt:lpstr>NuevoReporte</vt:lpstr>
      <vt:lpstr>CAJAS</vt:lpstr>
      <vt:lpstr>CROSSDOCKING</vt:lpstr>
      <vt:lpstr>HOJA DE FALTANTES PARCIALES</vt:lpstr>
      <vt:lpstr>HOJA DE FALTANTES COMPLETOS</vt:lpstr>
      <vt:lpstr>PUNTOS DE VENTA</vt:lpstr>
      <vt:lpstr>CATALOGO</vt:lpstr>
      <vt:lpstr>CANTIDAD DE BULTOS CROSSDOKING</vt:lpstr>
      <vt:lpstr>DISEÑO CROSSDOCKING</vt:lpstr>
      <vt:lpstr>DISEÑO 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Pablo Campos Solano</dc:creator>
  <cp:lastModifiedBy>José Pablo Campos Solano</cp:lastModifiedBy>
  <cp:lastPrinted>2025-12-17T02:03:02Z</cp:lastPrinted>
  <dcterms:created xsi:type="dcterms:W3CDTF">2018-08-30T15:12:04Z</dcterms:created>
  <dcterms:modified xsi:type="dcterms:W3CDTF">2025-12-17T02:07:05Z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120 120 1920 1080</vt:lpwstr>
  </property>
</Properties>
</file>