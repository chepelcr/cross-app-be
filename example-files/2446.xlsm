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e312387d28feea2/Desktop/Documentos/CORELLA/Ordenes/2025/2025-12-18/"/>
    </mc:Choice>
  </mc:AlternateContent>
  <xr:revisionPtr revIDLastSave="1636" documentId="8_{5958CC11-C433-474E-8B67-944C7782C0AC}" xr6:coauthVersionLast="47" xr6:coauthVersionMax="47" xr10:uidLastSave="{6D9EED4D-282A-7545-94B7-8E5B2E1D8C85}"/>
  <bookViews>
    <workbookView xWindow="16300" yWindow="500" windowWidth="22100" windowHeight="19640" activeTab="1" xr2:uid="{73C90569-7F61-447B-A122-90AB49F1F4DC}"/>
  </bookViews>
  <sheets>
    <sheet name="RESUMEN DE PUNTOS DE VENTA" sheetId="1" r:id="rId1"/>
    <sheet name="NuevoReporte" sheetId="33" r:id="rId2"/>
    <sheet name="CAJAS" sheetId="13" r:id="rId3"/>
    <sheet name="CROSSDOCKING" sheetId="5" r:id="rId4"/>
    <sheet name="HOJA DE FALTANTES PARCIALES" sheetId="9" r:id="rId5"/>
    <sheet name="HOJA DE FALTANTES COMPLETOS" sheetId="10" r:id="rId6"/>
    <sheet name="PUNTOS DE VENTA" sheetId="2" r:id="rId7"/>
    <sheet name="CATALOGO" sheetId="4" r:id="rId8"/>
    <sheet name="CANTIDAD DE BULTOS CROSSDOKING" sheetId="8" r:id="rId9"/>
    <sheet name="DISEÑO CROSSDOCKING" sheetId="11" r:id="rId10"/>
    <sheet name="DISEÑO EXCEL" sheetId="12" r:id="rId11"/>
  </sheets>
  <definedNames>
    <definedName name="_xlnm._FilterDatabase" localSheetId="3" hidden="1">CROSSDOCKING!#REF!</definedName>
    <definedName name="_xlnm._FilterDatabase" localSheetId="0" hidden="1">'RESUMEN DE PUNTOS DE VENTA'!$C$1:$C$6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33" l="1"/>
  <c r="E3" i="5" l="1"/>
  <c r="H8" i="1" l="1"/>
  <c r="F8" i="1"/>
  <c r="E8" i="1"/>
  <c r="D8" i="1"/>
  <c r="B8" i="1"/>
  <c r="H9" i="1" l="1"/>
  <c r="G8" i="5"/>
  <c r="F8" i="5"/>
  <c r="B6" i="5"/>
  <c r="B7" i="5" s="1"/>
  <c r="C5" i="13"/>
  <c r="I5" i="13"/>
  <c r="C4" i="13"/>
  <c r="C3" i="13"/>
  <c r="I3" i="13"/>
  <c r="I8" i="5"/>
  <c r="E8" i="5"/>
  <c r="D8" i="5"/>
  <c r="H8" i="5" s="1"/>
  <c r="C8" i="5"/>
  <c r="C4" i="5"/>
  <c r="H3" i="5"/>
  <c r="G7" i="5" l="1"/>
  <c r="F7" i="5"/>
  <c r="F6" i="5"/>
  <c r="G6" i="5"/>
  <c r="E7" i="5"/>
  <c r="D7" i="5"/>
  <c r="H7" i="5" s="1"/>
  <c r="C7" i="5"/>
  <c r="D6" i="5"/>
  <c r="H6" i="5" s="1"/>
  <c r="E6" i="5"/>
  <c r="C6" i="5"/>
  <c r="I7" i="5" l="1"/>
  <c r="F9" i="5"/>
  <c r="E9" i="5"/>
  <c r="G9" i="5"/>
  <c r="I6" i="5"/>
  <c r="C10" i="13" l="1"/>
  <c r="H10" i="13" s="1"/>
  <c r="C11" i="13"/>
  <c r="C12" i="13"/>
  <c r="I9" i="13"/>
  <c r="C9" i="13"/>
  <c r="I10" i="13"/>
  <c r="I9" i="5"/>
  <c r="I8" i="11"/>
  <c r="G8" i="11"/>
  <c r="F8" i="11"/>
  <c r="E8" i="11"/>
  <c r="D8" i="11"/>
  <c r="H8" i="11" s="1"/>
  <c r="C8" i="11"/>
  <c r="B6" i="11"/>
  <c r="C6" i="11" s="1"/>
  <c r="C4" i="11"/>
  <c r="H3" i="11"/>
  <c r="H10" i="12"/>
  <c r="E10" i="12"/>
  <c r="D10" i="12"/>
  <c r="B10" i="12"/>
  <c r="C10" i="5" l="1"/>
  <c r="D6" i="11"/>
  <c r="E6" i="11"/>
  <c r="B7" i="11"/>
  <c r="F6" i="11" l="1"/>
  <c r="G7" i="11"/>
  <c r="C7" i="11"/>
  <c r="F7" i="11"/>
  <c r="I7" i="11"/>
  <c r="E7" i="11"/>
  <c r="D7" i="11"/>
  <c r="H7" i="11" s="1"/>
  <c r="F9" i="11" l="1"/>
  <c r="G6" i="11" l="1"/>
  <c r="I6" i="11" l="1"/>
  <c r="I9" i="11" s="1"/>
  <c r="G9" i="11"/>
  <c r="H6" i="11"/>
  <c r="C11" i="11" l="1"/>
  <c r="C5" i="10"/>
  <c r="C5" i="9"/>
  <c r="D12" i="10" l="1"/>
  <c r="B12" i="10"/>
  <c r="F11" i="11" l="1"/>
  <c r="G12" i="10"/>
  <c r="G13" i="10" l="1"/>
  <c r="H11" i="13" l="1"/>
  <c r="I11" i="13" l="1"/>
  <c r="I12" i="13"/>
  <c r="H12" i="13"/>
  <c r="H9" i="13" l="1"/>
  <c r="H13" i="13" s="1"/>
  <c r="C13" i="13"/>
  <c r="I13" i="13"/>
  <c r="F10" i="5" l="1"/>
</calcChain>
</file>

<file path=xl/sharedStrings.xml><?xml version="1.0" encoding="utf-8"?>
<sst xmlns="http://schemas.openxmlformats.org/spreadsheetml/2006/main" count="411" uniqueCount="256">
  <si>
    <t>DISTRIBUCIÓN POR PUNTO DE VENTA</t>
  </si>
  <si>
    <t>CORELLA ARTAVIA VILMA</t>
  </si>
  <si>
    <t>RAZON SOCIAL</t>
  </si>
  <si>
    <t>CODIGO PROVEEDOR</t>
  </si>
  <si>
    <t>NUMERO DE CONFIRMACION</t>
  </si>
  <si>
    <t>PUNTO DE VENTA</t>
  </si>
  <si>
    <t>NOMBRE DEL PUNTO DE VENTA</t>
  </si>
  <si>
    <t>ITEM</t>
  </si>
  <si>
    <t>U/M</t>
  </si>
  <si>
    <t>CANTIDAD PEDIDA</t>
  </si>
  <si>
    <t>CANTIDAD ENVIADA</t>
  </si>
  <si>
    <t>GNL</t>
  </si>
  <si>
    <t>DESCRIPCION ESPECIFICA DE CADA ARTICULO</t>
  </si>
  <si>
    <t>Cantidad de bultos por punto de venta: 1</t>
  </si>
  <si>
    <t>Walmart Liberia</t>
  </si>
  <si>
    <t>WALMART</t>
  </si>
  <si>
    <t>Walmart San Sebastian</t>
  </si>
  <si>
    <t>Walmart Heredia</t>
  </si>
  <si>
    <t>Walmart Curridabat</t>
  </si>
  <si>
    <t xml:space="preserve">Walmart Guadalupe </t>
  </si>
  <si>
    <t>Walmart Cartago</t>
  </si>
  <si>
    <t>Walmart Escazu</t>
  </si>
  <si>
    <t>Walmart Alajuela</t>
  </si>
  <si>
    <t>Walmart Tibas</t>
  </si>
  <si>
    <t>Walmart Desamparados</t>
  </si>
  <si>
    <t>Walmart La Lima</t>
  </si>
  <si>
    <t>MAXIPALI</t>
  </si>
  <si>
    <t>MaxiPali el Cruce</t>
  </si>
  <si>
    <t>MaxiPali Alajuela</t>
  </si>
  <si>
    <t>MaxiPali Ciudad Quesada</t>
  </si>
  <si>
    <t>MaxiPali Grecia</t>
  </si>
  <si>
    <t>MaxiPali Turrialba</t>
  </si>
  <si>
    <t>Cadena</t>
  </si>
  <si>
    <t>DESCRIPCIÓN</t>
  </si>
  <si>
    <t>CODIGO INTERNO</t>
  </si>
  <si>
    <t>funda bebe rectangular verde mar docoma</t>
  </si>
  <si>
    <t>funda bebe cuadrada verde mar docoma</t>
  </si>
  <si>
    <t>juego sabana bebe verde mar docoma</t>
  </si>
  <si>
    <t>almohada y funda bebe amarilla docoma</t>
  </si>
  <si>
    <t>almohada y funda bebe rosada docoma</t>
  </si>
  <si>
    <t>almohada y funda bebe celeste docoma</t>
  </si>
  <si>
    <t>almohada y funda bebe blanca docoma</t>
  </si>
  <si>
    <t>almohada bebe sencilla celeste docoma</t>
  </si>
  <si>
    <t>almohada bebe sencilla blanca docoma</t>
  </si>
  <si>
    <t>almohada bebe sencilla verde mar docoma</t>
  </si>
  <si>
    <t>almohada bebe sencilla rosada docoma</t>
  </si>
  <si>
    <t>almohada bebe sencilla amarilla docoma</t>
  </si>
  <si>
    <t>funda bebe rectangular amarilla docoma</t>
  </si>
  <si>
    <t>funda bebe rectangular rosada docoma</t>
  </si>
  <si>
    <t>funda bebe rectangular celeste docoma</t>
  </si>
  <si>
    <t>funda bebe cuadrada amarilla docoma</t>
  </si>
  <si>
    <t>funda bebe cuadrada rosada docoma</t>
  </si>
  <si>
    <t>funda bebe cuadrada celeste docoma</t>
  </si>
  <si>
    <t>juego sabana bebe rosada docoma</t>
  </si>
  <si>
    <t>juego sabana bebe amarilla docoma</t>
  </si>
  <si>
    <t>juego sabana bebe celeste docoma</t>
  </si>
  <si>
    <t>almohada bebe sencilla estampada</t>
  </si>
  <si>
    <t>funda bebe rectangular blanca docoma</t>
  </si>
  <si>
    <t>funda bebe cuadrada blanca docoma</t>
  </si>
  <si>
    <t>juego sabana bebe blanca docoma</t>
  </si>
  <si>
    <t>juego de sabana bebe estampada</t>
  </si>
  <si>
    <t>almohada y funda bebe estampada</t>
  </si>
  <si>
    <t>funda de bebe laura liso sencilla</t>
  </si>
  <si>
    <t>almohada y funda bebe colores surtidos docoma</t>
  </si>
  <si>
    <t>CENTRO DE DISTRIBUCION</t>
  </si>
  <si>
    <t>ENTREGA DE CROSS DOCKING</t>
  </si>
  <si>
    <t xml:space="preserve">Codigo PDV: </t>
  </si>
  <si>
    <t xml:space="preserve">Orden: </t>
  </si>
  <si>
    <t xml:space="preserve">Nombre PDV: </t>
  </si>
  <si>
    <t>Cantidad Pedida</t>
  </si>
  <si>
    <t>Cantidad Enviada</t>
  </si>
  <si>
    <t>Faltante</t>
  </si>
  <si>
    <t>TOTAL</t>
  </si>
  <si>
    <t>CENTRO DE DISTRIBUCION COYOL</t>
  </si>
  <si>
    <t>REGISTRO DE PRODUCTOS A LA VENTA</t>
  </si>
  <si>
    <t>DESCRIPCIÓN ESPECIFICA</t>
  </si>
  <si>
    <t>FALTANTE</t>
  </si>
  <si>
    <t>DE CADA ARTICULO</t>
  </si>
  <si>
    <t>PEDIDA</t>
  </si>
  <si>
    <t>ORDEN DE COMPRA</t>
  </si>
  <si>
    <r>
      <t>Al proveedor se le solicita en la orden #92506204</t>
    </r>
    <r>
      <rPr>
        <sz val="11"/>
        <color theme="1"/>
        <rFont val="Calibri"/>
        <family val="2"/>
        <scheme val="minor"/>
      </rPr>
      <t>77 el Item #2645649 y #2647973 con un total de 3 bultos los cuales no va a entregar.</t>
    </r>
  </si>
  <si>
    <t>Walmart CQ San Carlos</t>
  </si>
  <si>
    <t>Walmart Perez Zeledon</t>
  </si>
  <si>
    <t>Total de bultos:</t>
  </si>
  <si>
    <t>Al proveedor se le solicita en la orden #2900671420 el ITEM #2645649 con un total de 13 bultos, los cuales no va a entregar.</t>
  </si>
  <si>
    <t>Walmart Heredia Este</t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</si>
  <si>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</si>
  <si>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</si>
  <si>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</si>
  <si>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</si>
  <si>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</si>
  <si>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</si>
  <si>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</si>
  <si>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</si>
  <si>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</si>
  <si>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</si>
  <si>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</si>
  <si>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</si>
  <si>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</si>
  <si>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</si>
  <si>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</si>
  <si>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t>Maxi Naranjo</t>
  </si>
  <si>
    <t>Maxi Aserri</t>
  </si>
  <si>
    <t>Maxi Coronado</t>
  </si>
  <si>
    <t>Maxi Tamarindo</t>
  </si>
  <si>
    <t>Maxi Montecillos</t>
  </si>
  <si>
    <t>Maxi Turrialba Norte</t>
  </si>
  <si>
    <t>Maxi Santa Ana</t>
  </si>
  <si>
    <t>Maxi La Fortuna</t>
  </si>
  <si>
    <t>Maxi Upala</t>
  </si>
  <si>
    <t>Maxi Los Guido</t>
  </si>
  <si>
    <t>Maxi Guadalupe</t>
  </si>
  <si>
    <t>Maxi Palmares</t>
  </si>
  <si>
    <t>Maxi el Cruce</t>
  </si>
  <si>
    <t>Maxi Alajuela</t>
  </si>
  <si>
    <t>Maxi Ciudad Quesada</t>
  </si>
  <si>
    <t>Maxi Limon</t>
  </si>
  <si>
    <t>Maxi Liberia</t>
  </si>
  <si>
    <t>Maxi Grecia</t>
  </si>
  <si>
    <t>Maxi Jaco</t>
  </si>
  <si>
    <t>Maxi San Isidro</t>
  </si>
  <si>
    <t>Maxi San Ramon</t>
  </si>
  <si>
    <t>Maxi Puntarenas</t>
  </si>
  <si>
    <t>Maxi Turrialba</t>
  </si>
  <si>
    <t>Maxi Nicoya</t>
  </si>
  <si>
    <t>Maxi Guapiles</t>
  </si>
  <si>
    <t>Maxi Tibas</t>
  </si>
  <si>
    <t>Maxi Cañas</t>
  </si>
  <si>
    <t>Maxi Paraiso</t>
  </si>
  <si>
    <t>Maxi Quepos</t>
  </si>
  <si>
    <t>Maxi Rio Claro</t>
  </si>
  <si>
    <t>Maxi Alajuelita</t>
  </si>
  <si>
    <t>Maxi San Francisco Dos Ríos</t>
  </si>
  <si>
    <t>Maxi Santa Cruz</t>
  </si>
  <si>
    <t>Maxi Mercedes Norte</t>
  </si>
  <si>
    <t>Maxi Atenas</t>
  </si>
  <si>
    <t>Maxi Orotina</t>
  </si>
  <si>
    <t>Maxi Esparza</t>
  </si>
  <si>
    <t>Maxi Siquirres</t>
  </si>
  <si>
    <t>Maxi Pavas</t>
  </si>
  <si>
    <t>Maxi Puriscal</t>
  </si>
  <si>
    <t xml:space="preserve">Maxi Hatillo </t>
  </si>
  <si>
    <t xml:space="preserve">Maxi Aguas Zarcas </t>
  </si>
  <si>
    <t>Maxi Oreamuno</t>
  </si>
  <si>
    <t>Maxi Santa Barbara</t>
  </si>
  <si>
    <t>Maxi Parrita</t>
  </si>
  <si>
    <t>Maxi Aguas Calientes</t>
  </si>
  <si>
    <t>Maxi Centro Comercial Hatillo</t>
  </si>
  <si>
    <t>Cantidad de cajas</t>
  </si>
  <si>
    <t>Cantidad x caja</t>
  </si>
  <si>
    <t>CONFIRMACIÓN</t>
  </si>
  <si>
    <t>DEPARTAMENTO</t>
  </si>
  <si>
    <t>DE</t>
  </si>
  <si>
    <t>Bultos</t>
  </si>
  <si>
    <t>Total Unidades</t>
  </si>
  <si>
    <t>Total Bultos</t>
  </si>
  <si>
    <t>Caja</t>
  </si>
  <si>
    <t>Maxi Cariari</t>
  </si>
  <si>
    <t>Codigo</t>
  </si>
  <si>
    <t>Nombre</t>
  </si>
  <si>
    <t>funda blanca 75x48cm</t>
  </si>
  <si>
    <t>funda individ gr surt col docom</t>
  </si>
  <si>
    <t>Maxi Playas del Coco</t>
  </si>
  <si>
    <t>PO</t>
  </si>
  <si>
    <t>UPC</t>
  </si>
  <si>
    <t>LINE_NBR</t>
  </si>
  <si>
    <t>STORE_NBR</t>
  </si>
  <si>
    <t>ORDENADO</t>
  </si>
  <si>
    <t>CANTIDAD A ENTREGAR</t>
  </si>
  <si>
    <t>DIFERENCIA</t>
  </si>
  <si>
    <t>XA315</t>
  </si>
  <si>
    <t>XA247</t>
  </si>
  <si>
    <t>XA242</t>
  </si>
  <si>
    <t>XA279</t>
  </si>
  <si>
    <t>XA292</t>
  </si>
  <si>
    <t>XA273</t>
  </si>
  <si>
    <t>XA249</t>
  </si>
  <si>
    <t>XA263</t>
  </si>
  <si>
    <t>XA256</t>
  </si>
  <si>
    <t>XA085</t>
  </si>
  <si>
    <t>XA073</t>
  </si>
  <si>
    <t>XA065</t>
  </si>
  <si>
    <t>XA327</t>
  </si>
  <si>
    <t>XA268</t>
  </si>
  <si>
    <t>Maxi Alajuela Este</t>
  </si>
  <si>
    <t>XA240</t>
  </si>
  <si>
    <t>XA284</t>
  </si>
  <si>
    <t>XA078</t>
  </si>
  <si>
    <t>Maxi Uvita</t>
  </si>
  <si>
    <t>XA271</t>
  </si>
  <si>
    <t>Maxi San Pablo</t>
  </si>
  <si>
    <t>XA287</t>
  </si>
  <si>
    <t>Maxi San Antonio Escazú</t>
  </si>
  <si>
    <t>XA288</t>
  </si>
  <si>
    <t>Maxi Lagunilla</t>
  </si>
  <si>
    <t>XA270</t>
  </si>
  <si>
    <t>Walmart Santa Ana</t>
  </si>
  <si>
    <t>XA045</t>
  </si>
  <si>
    <t>Maxi Curridabat (Plaza Cristal)</t>
  </si>
  <si>
    <t>XA211</t>
  </si>
  <si>
    <t>XA101</t>
  </si>
  <si>
    <t>XA074</t>
  </si>
  <si>
    <t>Maxi San Rafael (Desamparados)</t>
  </si>
  <si>
    <t>XA077</t>
  </si>
  <si>
    <t>Maxi Pacífica</t>
  </si>
  <si>
    <t>XA241</t>
  </si>
  <si>
    <t>XA252</t>
  </si>
  <si>
    <t>XA082</t>
  </si>
  <si>
    <t>XA021</t>
  </si>
  <si>
    <t>XA118</t>
  </si>
  <si>
    <t>XA262</t>
  </si>
  <si>
    <t>XA280</t>
  </si>
  <si>
    <t>XA253</t>
  </si>
  <si>
    <t>XA267</t>
  </si>
  <si>
    <t>XA269</t>
  </si>
  <si>
    <t>XA272</t>
  </si>
  <si>
    <t>XA094</t>
  </si>
  <si>
    <t>XA248</t>
  </si>
  <si>
    <t>XA260</t>
  </si>
  <si>
    <t>XA266</t>
  </si>
  <si>
    <t>XA032</t>
  </si>
  <si>
    <t>XA089</t>
  </si>
  <si>
    <t>XA255</t>
  </si>
  <si>
    <t>XA258</t>
  </si>
  <si>
    <t>XA110</t>
  </si>
  <si>
    <t>XA246</t>
  </si>
  <si>
    <t>XA102</t>
  </si>
  <si>
    <t>XA250</t>
  </si>
  <si>
    <t>XA243</t>
  </si>
  <si>
    <t>XA106</t>
  </si>
  <si>
    <t>XA090</t>
  </si>
  <si>
    <t>XA264</t>
  </si>
  <si>
    <t>XA275</t>
  </si>
  <si>
    <t>XA098</t>
  </si>
  <si>
    <t>XA303</t>
  </si>
  <si>
    <t>XA283</t>
  </si>
  <si>
    <t>XA113</t>
  </si>
  <si>
    <t>XA114</t>
  </si>
  <si>
    <t>XA245</t>
  </si>
  <si>
    <t>Maxi San Rafael (Abajo)</t>
  </si>
  <si>
    <t>XA086</t>
  </si>
  <si>
    <t>XA274</t>
  </si>
  <si>
    <t>XA121</t>
  </si>
  <si>
    <t>XA259</t>
  </si>
  <si>
    <t>XA261</t>
  </si>
  <si>
    <t>XA339</t>
  </si>
  <si>
    <t>XA244</t>
  </si>
  <si>
    <t>XA257</t>
  </si>
  <si>
    <t>Maxi San Rafael (Alajuela)</t>
  </si>
  <si>
    <t>XA251</t>
  </si>
  <si>
    <t>XA056</t>
  </si>
  <si>
    <t>XA254</t>
  </si>
  <si>
    <t>XA276</t>
  </si>
  <si>
    <t>XA109</t>
  </si>
  <si>
    <t>SLOT ID</t>
  </si>
  <si>
    <t>Slot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</si>
</sst>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5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name val="Consolas"/>
      <family val="3"/>
    </font>
    <font>
      <b/>
      <sz val="13"/>
      <name val="Consolas"/>
      <family val="3"/>
    </font>
    <font>
      <b/>
      <sz val="12"/>
      <name val="Consolas"/>
      <family val="3"/>
    </font>
    <font>
      <sz val="12"/>
      <color theme="4" tint="-0.499984740745262"/>
      <name val="Consolas"/>
      <family val="3"/>
    </font>
    <font>
      <b/>
      <sz val="11"/>
      <name val="Consolas"/>
      <family val="3"/>
    </font>
    <font>
      <sz val="11"/>
      <color theme="1"/>
      <name val="Consolas"/>
      <family val="3"/>
    </font>
    <font>
      <u/>
      <sz val="11"/>
      <color theme="1"/>
      <name val="Consolas"/>
      <family val="3"/>
    </font>
    <font>
      <sz val="11"/>
      <name val="Consolas"/>
      <family val="3"/>
    </font>
    <font>
      <sz val="12"/>
      <name val="Consolas"/>
      <family val="3"/>
    </font>
    <font>
      <u/>
      <sz val="11"/>
      <name val="Consolas"/>
      <family val="3"/>
    </font>
    <font>
      <b/>
      <sz val="12"/>
      <color theme="0"/>
      <name val="Consolas"/>
      <family val="3"/>
    </font>
    <font>
      <b/>
      <sz val="9"/>
      <color theme="0"/>
      <name val="Consolas"/>
      <family val="3"/>
    </font>
    <font>
      <b/>
      <sz val="11"/>
      <color theme="0"/>
      <name val="Consolas"/>
      <family val="3"/>
    </font>
    <font>
      <sz val="15"/>
      <name val="Consolas"/>
      <family val="3"/>
    </font>
    <font>
      <sz val="13"/>
      <name val="Consolas"/>
      <family val="3"/>
    </font>
    <font>
      <b/>
      <sz val="12"/>
      <color theme="2" tint="-0.89999084444715716"/>
      <name val="Consolas"/>
      <family val="3"/>
    </font>
    <font>
      <sz val="12"/>
      <color theme="2" tint="-0.89999084444715716"/>
      <name val="Consolas"/>
      <family val="3"/>
    </font>
    <font>
      <b/>
      <sz val="10"/>
      <color theme="0"/>
      <name val="Consolas"/>
      <family val="3"/>
    </font>
    <font>
      <b/>
      <sz val="9"/>
      <color theme="1"/>
      <name val="Consolas"/>
      <family val="3"/>
    </font>
    <font>
      <b/>
      <u/>
      <sz val="11"/>
      <name val="Consolas"/>
      <family val="3"/>
    </font>
    <font>
      <b/>
      <sz val="9"/>
      <name val="Consolas"/>
      <family val="3"/>
    </font>
    <font>
      <sz val="9"/>
      <name val="Consolas"/>
      <family val="3"/>
    </font>
    <font>
      <b/>
      <sz val="11"/>
      <color rgb="FF008000"/>
      <name val="Consolas"/>
      <family val="3"/>
    </font>
    <font>
      <sz val="11"/>
      <color rgb="FF000000"/>
      <name val="Consolas"/>
      <family val="3"/>
    </font>
    <font>
      <b/>
      <sz val="8"/>
      <color theme="0"/>
      <name val="Consolas"/>
      <family val="3"/>
    </font>
    <font>
      <sz val="8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9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0" fillId="0" borderId="1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0" fillId="0" borderId="1" xfId="0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1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1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1" fontId="13" fillId="0" borderId="0" xfId="0" applyNumberFormat="1" applyFont="1" applyAlignment="1">
      <alignment horizontal="left"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horizontal="center" vertical="center"/>
    </xf>
    <xf numFmtId="1" fontId="18" fillId="2" borderId="1" xfId="0" applyNumberFormat="1" applyFont="1" applyFill="1" applyBorder="1" applyAlignment="1">
      <alignment horizontal="center"/>
    </xf>
    <xf numFmtId="1" fontId="18" fillId="2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" fontId="18" fillId="0" borderId="1" xfId="0" applyNumberFormat="1" applyFont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/>
    </xf>
    <xf numFmtId="0" fontId="27" fillId="7" borderId="2" xfId="0" applyFont="1" applyFill="1" applyBorder="1" applyAlignment="1">
      <alignment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28" fillId="6" borderId="8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3" fillId="8" borderId="9" xfId="0" applyFon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0" fontId="22" fillId="10" borderId="12" xfId="0" applyFont="1" applyFill="1" applyBorder="1" applyAlignment="1">
      <alignment horizontal="center" vertical="center" wrapText="1"/>
    </xf>
    <xf numFmtId="0" fontId="28" fillId="10" borderId="8" xfId="0" applyFont="1" applyFill="1" applyBorder="1" applyAlignment="1">
      <alignment horizontal="center" vertical="center"/>
    </xf>
    <xf numFmtId="0" fontId="27" fillId="11" borderId="2" xfId="0" applyFont="1" applyFill="1" applyBorder="1" applyAlignment="1">
      <alignment vertical="center"/>
    </xf>
    <xf numFmtId="0" fontId="16" fillId="11" borderId="11" xfId="0" applyFont="1" applyFill="1" applyBorder="1" applyAlignment="1">
      <alignment horizontal="center" vertical="center" wrapText="1"/>
    </xf>
    <xf numFmtId="0" fontId="16" fillId="11" borderId="12" xfId="0" applyFont="1" applyFill="1" applyBorder="1" applyAlignment="1">
      <alignment horizontal="center" vertical="center" wrapText="1"/>
    </xf>
    <xf numFmtId="0" fontId="16" fillId="12" borderId="11" xfId="0" applyFont="1" applyFill="1" applyBorder="1" applyAlignment="1">
      <alignment horizontal="center" vertical="center" wrapText="1"/>
    </xf>
    <xf numFmtId="0" fontId="16" fillId="12" borderId="12" xfId="0" applyFont="1" applyFill="1" applyBorder="1" applyAlignment="1">
      <alignment horizontal="center" vertical="center" wrapText="1"/>
    </xf>
    <xf numFmtId="1" fontId="23" fillId="10" borderId="11" xfId="0" applyNumberFormat="1" applyFont="1" applyFill="1" applyBorder="1" applyAlignment="1">
      <alignment horizontal="center" vertical="center"/>
    </xf>
    <xf numFmtId="1" fontId="23" fillId="10" borderId="12" xfId="0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" fontId="0" fillId="0" borderId="0" xfId="0" applyNumberFormat="1"/>
    <xf numFmtId="0" fontId="35" fillId="10" borderId="1" xfId="0" applyFont="1" applyFill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7" fillId="13" borderId="10" xfId="0" applyFont="1" applyFill="1" applyBorder="1" applyAlignment="1">
      <alignment horizontal="left" vertical="center"/>
    </xf>
    <xf numFmtId="0" fontId="38" fillId="11" borderId="11" xfId="0" applyFont="1" applyFill="1" applyBorder="1" applyAlignment="1">
      <alignment horizontal="left" vertical="center"/>
    </xf>
    <xf numFmtId="0" fontId="32" fillId="0" borderId="1" xfId="0" applyFont="1" applyBorder="1" applyAlignment="1">
      <alignment horizontal="right" vertical="center"/>
    </xf>
    <xf numFmtId="0" fontId="32" fillId="0" borderId="10" xfId="0" applyFont="1" applyBorder="1" applyAlignment="1">
      <alignment horizontal="right" vertical="center"/>
    </xf>
    <xf numFmtId="0" fontId="32" fillId="0" borderId="10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" fillId="0" borderId="6" xfId="0" applyFont="1" applyBorder="1" applyAlignment="1">
      <alignment horizontal="center" vertical="center"/>
    </xf>
    <xf numFmtId="0" fontId="21" fillId="10" borderId="2" xfId="0" applyFont="1" applyFill="1" applyBorder="1" applyAlignment="1">
      <alignment horizontal="center" vertical="center"/>
    </xf>
    <xf numFmtId="0" fontId="21" fillId="10" borderId="4" xfId="0" applyFont="1" applyFill="1" applyBorder="1" applyAlignment="1">
      <alignment horizontal="center" vertical="center"/>
    </xf>
    <xf numFmtId="0" fontId="21" fillId="10" borderId="5" xfId="0" applyFont="1" applyFill="1" applyBorder="1" applyAlignment="1">
      <alignment horizontal="center" vertical="center"/>
    </xf>
    <xf numFmtId="0" fontId="21" fillId="10" borderId="7" xfId="0" applyFont="1" applyFill="1" applyBorder="1" applyAlignment="1">
      <alignment horizontal="center" vertical="center"/>
    </xf>
    <xf numFmtId="0" fontId="23" fillId="10" borderId="10" xfId="0" applyFont="1" applyFill="1" applyBorder="1" applyAlignment="1">
      <alignment horizontal="center" vertical="center"/>
    </xf>
    <xf numFmtId="0" fontId="23" fillId="10" borderId="11" xfId="0" applyFont="1" applyFill="1" applyBorder="1" applyAlignment="1">
      <alignment horizontal="center" vertical="center"/>
    </xf>
    <xf numFmtId="1" fontId="23" fillId="10" borderId="11" xfId="0" applyNumberFormat="1" applyFont="1" applyFill="1" applyBorder="1" applyAlignment="1">
      <alignment horizontal="center" vertical="center"/>
    </xf>
    <xf numFmtId="0" fontId="16" fillId="12" borderId="10" xfId="0" applyFont="1" applyFill="1" applyBorder="1" applyAlignment="1">
      <alignment horizontal="center" vertical="center" wrapText="1"/>
    </xf>
    <xf numFmtId="0" fontId="16" fillId="12" borderId="11" xfId="0" applyFont="1" applyFill="1" applyBorder="1" applyAlignment="1">
      <alignment horizontal="center" vertical="center" wrapText="1"/>
    </xf>
    <xf numFmtId="0" fontId="16" fillId="11" borderId="15" xfId="0" applyFont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center" wrapText="1"/>
    </xf>
    <xf numFmtId="0" fontId="16" fillId="11" borderId="1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21" fillId="10" borderId="8" xfId="0" applyFont="1" applyFill="1" applyBorder="1" applyAlignment="1">
      <alignment horizontal="center" vertical="center"/>
    </xf>
    <xf numFmtId="0" fontId="21" fillId="10" borderId="9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 wrapText="1"/>
    </xf>
    <xf numFmtId="0" fontId="21" fillId="10" borderId="9" xfId="0" applyFont="1" applyFill="1" applyBorder="1" applyAlignment="1">
      <alignment horizontal="center" vertical="center" wrapText="1"/>
    </xf>
    <xf numFmtId="0" fontId="21" fillId="10" borderId="3" xfId="0" applyFont="1" applyFill="1" applyBorder="1" applyAlignment="1">
      <alignment horizontal="center" vertical="center"/>
    </xf>
    <xf numFmtId="0" fontId="21" fillId="10" borderId="6" xfId="0" applyFont="1" applyFill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26" fillId="11" borderId="2" xfId="0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/>
    </xf>
    <xf numFmtId="0" fontId="26" fillId="11" borderId="5" xfId="0" applyFont="1" applyFill="1" applyBorder="1" applyAlignment="1">
      <alignment horizontal="center" vertical="center"/>
    </xf>
    <xf numFmtId="0" fontId="26" fillId="11" borderId="6" xfId="0" applyFont="1" applyFill="1" applyBorder="1" applyAlignment="1">
      <alignment horizontal="center" vertical="center"/>
    </xf>
    <xf numFmtId="0" fontId="26" fillId="11" borderId="7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left" vertical="center"/>
    </xf>
    <xf numFmtId="0" fontId="27" fillId="11" borderId="11" xfId="0" applyFont="1" applyFill="1" applyBorder="1" applyAlignment="1">
      <alignment horizontal="left" vertical="center"/>
    </xf>
    <xf numFmtId="0" fontId="26" fillId="11" borderId="11" xfId="0" applyFont="1" applyFill="1" applyBorder="1" applyAlignment="1">
      <alignment horizontal="right" vertical="center"/>
    </xf>
    <xf numFmtId="0" fontId="26" fillId="11" borderId="12" xfId="0" applyFont="1" applyFill="1" applyBorder="1" applyAlignment="1">
      <alignment horizontal="right" vertical="center"/>
    </xf>
    <xf numFmtId="0" fontId="18" fillId="0" borderId="1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7" fillId="13" borderId="11" xfId="0" applyFont="1" applyFill="1" applyBorder="1" applyAlignment="1">
      <alignment horizontal="left" vertical="center"/>
    </xf>
    <xf numFmtId="0" fontId="37" fillId="13" borderId="12" xfId="0" applyFont="1" applyFill="1" applyBorder="1" applyAlignment="1">
      <alignment horizontal="left" vertical="center"/>
    </xf>
    <xf numFmtId="0" fontId="26" fillId="11" borderId="11" xfId="0" applyFont="1" applyFill="1" applyBorder="1" applyAlignment="1">
      <alignment horizontal="left" vertical="center"/>
    </xf>
    <xf numFmtId="0" fontId="26" fillId="11" borderId="12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/>
    </xf>
    <xf numFmtId="0" fontId="28" fillId="10" borderId="12" xfId="0" applyFont="1" applyFill="1" applyBorder="1" applyAlignment="1">
      <alignment horizontal="center" vertical="center"/>
    </xf>
    <xf numFmtId="0" fontId="22" fillId="10" borderId="10" xfId="0" applyFont="1" applyFill="1" applyBorder="1" applyAlignment="1">
      <alignment horizontal="center" vertical="center" wrapText="1"/>
    </xf>
    <xf numFmtId="0" fontId="22" fillId="10" borderId="12" xfId="0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" fontId="15" fillId="0" borderId="3" xfId="0" applyNumberFormat="1" applyFont="1" applyBorder="1" applyAlignment="1">
      <alignment horizontal="center" vertical="center"/>
    </xf>
    <xf numFmtId="1" fontId="15" fillId="0" borderId="4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8" fillId="0" borderId="0" xfId="0" applyFont="1" applyAlignment="1">
      <alignment horizontal="left" vertical="center"/>
    </xf>
    <xf numFmtId="2" fontId="8" fillId="0" borderId="0" xfId="0" applyNumberFormat="1" applyFont="1" applyAlignment="1">
      <alignment horizontal="left" vertical="center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1" fontId="1" fillId="4" borderId="8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6" xfId="0" applyFont="1" applyBorder="1" applyAlignment="1">
      <alignment horizontal="center"/>
    </xf>
    <xf numFmtId="0" fontId="1" fillId="0" borderId="10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1" xfId="0" applyFont="1" applyBorder="1" applyAlignment="1">
      <alignment horizontal="left" vertical="center"/>
    </xf>
    <xf numFmtId="0" fontId="26" fillId="7" borderId="2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26" fillId="7" borderId="7" xfId="0" applyFont="1" applyFill="1" applyBorder="1" applyAlignment="1">
      <alignment horizontal="center" vertical="center"/>
    </xf>
    <xf numFmtId="0" fontId="27" fillId="7" borderId="10" xfId="0" applyFont="1" applyFill="1" applyBorder="1" applyAlignment="1">
      <alignment horizontal="left" vertical="center"/>
    </xf>
    <xf numFmtId="0" fontId="27" fillId="7" borderId="11" xfId="0" applyFont="1" applyFill="1" applyBorder="1" applyAlignment="1">
      <alignment horizontal="left" vertical="center"/>
    </xf>
    <xf numFmtId="0" fontId="26" fillId="7" borderId="11" xfId="0" applyFont="1" applyFill="1" applyBorder="1" applyAlignment="1">
      <alignment horizontal="left" vertical="center"/>
    </xf>
    <xf numFmtId="0" fontId="26" fillId="7" borderId="12" xfId="0" applyFont="1" applyFill="1" applyBorder="1" applyAlignment="1">
      <alignment horizontal="left" vertical="center"/>
    </xf>
    <xf numFmtId="0" fontId="26" fillId="7" borderId="11" xfId="0" applyFont="1" applyFill="1" applyBorder="1" applyAlignment="1">
      <alignment horizontal="right" vertical="center"/>
    </xf>
    <xf numFmtId="0" fontId="26" fillId="7" borderId="12" xfId="0" applyFont="1" applyFill="1" applyBorder="1" applyAlignment="1">
      <alignment horizontal="right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" fontId="30" fillId="0" borderId="11" xfId="0" applyNumberFormat="1" applyFont="1" applyBorder="1" applyAlignment="1">
      <alignment horizontal="center" vertical="center"/>
    </xf>
    <xf numFmtId="1" fontId="30" fillId="0" borderId="12" xfId="0" applyNumberFormat="1" applyFont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6" borderId="12" xfId="0" applyFont="1" applyFill="1" applyBorder="1" applyAlignment="1">
      <alignment horizontal="center" vertical="center"/>
    </xf>
    <xf numFmtId="0" fontId="22" fillId="6" borderId="10" xfId="0" applyFont="1" applyFill="1" applyBorder="1" applyAlignment="1">
      <alignment horizontal="center" vertical="center" wrapText="1"/>
    </xf>
    <xf numFmtId="0" fontId="22" fillId="6" borderId="12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6" borderId="8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9" fillId="0" borderId="10" xfId="0" applyFont="1" applyBorder="1" applyAlignment="1">
      <alignment horizontal="left" vertical="center"/>
    </xf>
    <xf numFmtId="0" fontId="29" fillId="0" borderId="11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</cellXfs>
  <cellStyles count="1">
    <cellStyle name="Normal" xfId="0" builtinId="0"/>
  </cellStyles>
  <dxfs count="1">
    <dxf>
      <numFmt numFmtId="1" formatCode="0"/>
    </dxf>
  </dxfs>
  <tableStyles count="0" defaultTableStyle="TableStyleMedium2" defaultPivotStyle="PivotStyleLight16"/>
  <colors>
    <mruColors>
      <color rgb="FFDBB2F4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BD4099-2DD1-0843-B8FA-DFE4558131FE}" name="Tabla1" displayName="Tabla1" ref="A1:H2" totalsRowShown="0">
  <autoFilter ref="A1:H2" xr:uid="{00BD4099-2DD1-0843-B8FA-DFE4558131FE}"/>
  <tableColumns count="8">
    <tableColumn id="1" xr3:uid="{C40B5695-F4C8-4245-944B-3335AAAAE2BE}" name="PO"/>
    <tableColumn id="2" xr3:uid="{089F3A8F-2EC0-AB42-81F8-17070BBE0FBE}" name="UPC" dataDxfId="0"/>
    <tableColumn id="3" xr3:uid="{2547EE99-B25D-4941-AB43-2D314A03480A}" name="LINE_NBR"/>
    <tableColumn id="4" xr3:uid="{7C5387E4-8E33-B340-A77F-C965C45A4B54}" name="ITEM"/>
    <tableColumn id="5" xr3:uid="{92D8F0C2-CFD1-6C44-854C-0D2F108268AA}" name="STORE_NBR"/>
    <tableColumn id="6" xr3:uid="{DD88B6CD-85F3-F14C-8658-D24A40CE0164}" name="ORDENADO"/>
    <tableColumn id="7" xr3:uid="{25E81822-888B-474E-AFE9-FABCAEACC5A5}" name="CANTIDAD A ENTREGAR"/>
    <tableColumn id="8" xr3:uid="{C2FC03BC-3778-6D4D-8DB4-288B850FDD64}" name="DIFERENCIA">
      <calculatedColumnFormula>F2-G2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4538-006F-4377-9D68-822770DF2DAC}">
  <sheetPr codeName="Hoja1">
    <pageSetUpPr fitToPage="1"/>
  </sheetPr>
  <dimension ref="A1:H10"/>
  <sheetViews>
    <sheetView topLeftCell="A2" zoomScale="169" zoomScaleNormal="100" workbookViewId="0">
      <selection activeCell="C4" sqref="C4:H4"/>
    </sheetView>
  </sheetViews>
  <sheetFormatPr baseColWidth="10" defaultColWidth="10.83203125" defaultRowHeight="15" x14ac:dyDescent="0.2"/>
  <cols>
    <col min="1" max="1" width="10.83203125" style="25"/>
    <col min="2" max="2" width="37.1640625" style="25" bestFit="1" customWidth="1"/>
    <col min="3" max="3" width="14.33203125" style="25" customWidth="1"/>
    <col min="4" max="4" width="53.5" style="25" bestFit="1" customWidth="1"/>
    <col min="5" max="5" width="16.5" style="26" customWidth="1"/>
    <col min="6" max="6" width="6.6640625" style="26" customWidth="1"/>
    <col min="7" max="7" width="10.33203125" style="27" customWidth="1"/>
    <col min="8" max="8" width="11.5" style="27"/>
    <col min="9" max="16384" width="10.83203125" style="25"/>
  </cols>
  <sheetData>
    <row r="1" spans="1:8" s="22" customFormat="1" ht="19.5" hidden="1" customHeight="1" x14ac:dyDescent="0.2">
      <c r="A1" s="76" t="s">
        <v>73</v>
      </c>
      <c r="B1" s="76"/>
      <c r="C1" s="76"/>
      <c r="D1" s="76"/>
      <c r="E1" s="76"/>
      <c r="F1" s="76"/>
      <c r="G1" s="76"/>
      <c r="H1" s="76"/>
    </row>
    <row r="2" spans="1:8" s="22" customFormat="1" ht="17" x14ac:dyDescent="0.2">
      <c r="A2" s="79"/>
      <c r="B2" s="79"/>
      <c r="C2" s="79"/>
      <c r="D2" s="79"/>
      <c r="E2" s="79"/>
      <c r="F2" s="79"/>
      <c r="G2" s="79"/>
      <c r="H2" s="79"/>
    </row>
    <row r="3" spans="1:8" s="22" customFormat="1" ht="16" x14ac:dyDescent="0.2">
      <c r="A3" s="77" t="s">
        <v>2</v>
      </c>
      <c r="B3" s="77"/>
      <c r="C3" s="78" t="s">
        <v>1</v>
      </c>
      <c r="D3" s="78"/>
      <c r="E3" s="81" t="s">
        <v>150</v>
      </c>
      <c r="F3" s="81"/>
      <c r="G3" s="80">
        <v>42150458</v>
      </c>
      <c r="H3" s="80"/>
    </row>
    <row r="4" spans="1:8" s="22" customFormat="1" ht="16" x14ac:dyDescent="0.2">
      <c r="A4" s="77" t="s">
        <v>3</v>
      </c>
      <c r="B4" s="77"/>
      <c r="C4" s="78">
        <v>19596221</v>
      </c>
      <c r="D4" s="78"/>
      <c r="E4" s="78"/>
      <c r="F4" s="78"/>
      <c r="G4" s="78"/>
      <c r="H4" s="78"/>
    </row>
    <row r="5" spans="1:8" s="22" customFormat="1" ht="16" x14ac:dyDescent="0.2">
      <c r="A5" s="77" t="s">
        <v>79</v>
      </c>
      <c r="B5" s="77"/>
      <c r="C5" s="78">
        <v>7026682471</v>
      </c>
      <c r="D5" s="78"/>
      <c r="E5" s="81" t="s">
        <v>151</v>
      </c>
      <c r="F5" s="81"/>
      <c r="G5" s="80">
        <v>22</v>
      </c>
      <c r="H5" s="80"/>
    </row>
    <row r="6" spans="1:8" s="22" customFormat="1" ht="16" x14ac:dyDescent="0.2">
      <c r="A6" s="82"/>
      <c r="B6" s="82"/>
      <c r="C6" s="82"/>
      <c r="D6" s="82"/>
      <c r="E6" s="82"/>
      <c r="F6" s="82"/>
      <c r="G6" s="82"/>
      <c r="H6" s="82"/>
    </row>
    <row r="7" spans="1:8" s="68" customFormat="1" ht="24" x14ac:dyDescent="0.2">
      <c r="A7" s="67" t="s">
        <v>5</v>
      </c>
      <c r="B7" s="67" t="s">
        <v>6</v>
      </c>
      <c r="C7" s="67" t="s">
        <v>7</v>
      </c>
      <c r="D7" s="67" t="s">
        <v>12</v>
      </c>
      <c r="E7" s="67" t="s">
        <v>11</v>
      </c>
      <c r="F7" s="67" t="s">
        <v>8</v>
      </c>
      <c r="G7" s="67" t="s">
        <v>9</v>
      </c>
      <c r="H7" s="67" t="s">
        <v>10</v>
      </c>
    </row>
    <row r="8" spans="1:8" s="23" customFormat="1" x14ac:dyDescent="0.2">
      <c r="A8" s="40">
        <v>3700</v>
      </c>
      <c r="B8" s="40" t="str">
        <f>VLOOKUP(A8,'PUNTOS DE VENTA'!A$2:B$75,2)</f>
        <v>Walmart San Sebastian</v>
      </c>
      <c r="C8" s="40">
        <v>70468499</v>
      </c>
      <c r="D8" s="40" t="str">
        <f>VLOOKUP(C8,CATALOGO!$A$8:$C$38,3)</f>
        <v>funda blanca 75x48cm</v>
      </c>
      <c r="E8" s="24">
        <f>VLOOKUP(C8,CATALOGO!$A$8:$C$38,2)</f>
        <v>7441119600690</v>
      </c>
      <c r="F8" s="24">
        <f>VLOOKUP(C8,CATALOGO!$A$8:$E$38,5)</f>
        <v>12</v>
      </c>
      <c r="G8" s="40">
        <v>1</v>
      </c>
      <c r="H8" s="40">
        <f>G8</f>
        <v>1</v>
      </c>
    </row>
    <row r="9" spans="1:8" s="23" customFormat="1" x14ac:dyDescent="0.2">
      <c r="A9" s="71" t="s">
        <v>156</v>
      </c>
      <c r="B9" s="71"/>
      <c r="C9" s="71"/>
      <c r="D9" s="71"/>
      <c r="E9" s="71"/>
      <c r="F9" s="71"/>
      <c r="G9" s="72"/>
      <c r="H9" s="49">
        <f>COUNTIF($A$1:H8, "ITEM")</f>
        <v>1</v>
      </c>
    </row>
    <row r="10" spans="1:8" s="23" customFormat="1" x14ac:dyDescent="0.2">
      <c r="A10" s="73"/>
      <c r="B10" s="74"/>
      <c r="C10" s="74"/>
      <c r="D10" s="74"/>
      <c r="E10" s="74"/>
      <c r="F10" s="74"/>
      <c r="G10" s="74"/>
      <c r="H10" s="75"/>
    </row>
  </sheetData>
  <mergeCells count="15">
    <mergeCell ref="A9:G9"/>
    <mergeCell ref="A10:H10"/>
    <mergeCell ref="A1:H1"/>
    <mergeCell ref="A3:B3"/>
    <mergeCell ref="A4:B4"/>
    <mergeCell ref="A5:B5"/>
    <mergeCell ref="C4:H4"/>
    <mergeCell ref="A2:H2"/>
    <mergeCell ref="G5:H5"/>
    <mergeCell ref="C3:D3"/>
    <mergeCell ref="E5:F5"/>
    <mergeCell ref="E3:F3"/>
    <mergeCell ref="G3:H3"/>
    <mergeCell ref="C5:D5"/>
    <mergeCell ref="A6:H6"/>
  </mergeCells>
  <pageMargins left="0.7" right="0.7" top="0.75" bottom="0.75" header="0.3" footer="0.3"/>
  <pageSetup scale="53" fitToHeight="0" orientation="portrait" r:id="rId1"/>
  <headerFooter>
    <oddHeader>&amp;C&amp;"Consolas,Negrita"&amp;15&amp;K000000CENTRO DE DISTRIBUCION COYOL
&amp;13DISTRIBUCIÓN POR PUNTO DE VENTA</oddHeader>
    <oddFooter>&amp;L&amp;"-,Negrita"&amp;15Hoja de distribución&amp;R&amp;"-,Negrita"&amp;15Página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8E3A1-0331-9245-ADBB-C6561BC04753}">
  <sheetPr>
    <pageSetUpPr fitToPage="1"/>
  </sheetPr>
  <dimension ref="A1:H2"/>
  <sheetViews>
    <sheetView tabSelected="1" workbookViewId="0"/>
  </sheetViews>
  <sheetFormatPr baseColWidth="10" defaultRowHeight="15" x14ac:dyDescent="0.2"/>
  <cols>
    <col min="2" max="2" width="16.83203125" style="66" bestFit="1" customWidth="1"/>
    <col min="5" max="6" width="12.1640625" customWidth="1"/>
    <col min="7" max="7" width="20.83203125" customWidth="1"/>
    <col min="8" max="8" width="12.33203125" customWidth="1"/>
  </cols>
  <sheetData>
    <row r="1" spans="1:8" x14ac:dyDescent="0.2">
      <c r="A1" t="s">
        <v>163</v>
      </c>
      <c r="B1" s="66" t="s">
        <v>164</v>
      </c>
      <c r="C1" t="s">
        <v>165</v>
      </c>
      <c r="D1" t="s">
        <v>7</v>
      </c>
      <c r="E1" t="s">
        <v>166</v>
      </c>
      <c r="F1" t="s">
        <v>167</v>
      </c>
      <c r="G1" t="s">
        <v>168</v>
      </c>
      <c r="H1" t="s">
        <v>169</v>
      </c>
    </row>
    <row r="2" spans="1:8" x14ac:dyDescent="0.2">
      <c r="A2">
        <v>7026682471</v>
      </c>
      <c r="B2" s="66">
        <v>7441119600690</v>
      </c>
      <c r="C2">
        <v>1</v>
      </c>
      <c r="D2">
        <v>70468499</v>
      </c>
      <c r="E2">
        <v>3700</v>
      </c>
      <c r="F2">
        <v>1</v>
      </c>
      <c r="G2">
        <v>1</v>
      </c>
      <c r="H2">
        <f>F2-G2</f>
        <v>0</v>
      </c>
    </row>
  </sheetData>
  <pageMargins left="0.7" right="0.7" top="0.75" bottom="0.75" header="0.3" footer="0.3"/>
  <pageSetup paperSize="9" scale="77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85CE-351F-464A-B104-30E9738A0EA1}">
  <sheetPr codeName="Hoja2">
    <pageSetUpPr fitToPage="1"/>
  </sheetPr>
  <dimension ref="A1:I13"/>
  <sheetViews>
    <sheetView zoomScaleNormal="100" workbookViewId="0">
      <selection activeCell="C4" sqref="C4:I4"/>
    </sheetView>
  </sheetViews>
  <sheetFormatPr baseColWidth="10" defaultColWidth="11.5" defaultRowHeight="15" x14ac:dyDescent="0.2"/>
  <cols>
    <col min="1" max="2" width="11.5" style="25"/>
    <col min="3" max="3" width="13.6640625" style="25" customWidth="1"/>
    <col min="4" max="4" width="5.33203125" style="25" customWidth="1"/>
    <col min="5" max="7" width="11.5" style="25"/>
    <col min="8" max="8" width="16.5" style="25" customWidth="1"/>
    <col min="9" max="16384" width="11.5" style="25"/>
  </cols>
  <sheetData>
    <row r="1" spans="1:9" ht="17" x14ac:dyDescent="0.2">
      <c r="A1" s="79"/>
      <c r="B1" s="79"/>
      <c r="C1" s="79"/>
      <c r="D1" s="79"/>
      <c r="E1" s="79"/>
      <c r="F1" s="79"/>
      <c r="G1" s="79"/>
      <c r="H1" s="79"/>
      <c r="I1" s="79"/>
    </row>
    <row r="2" spans="1:9" ht="17" x14ac:dyDescent="0.2">
      <c r="A2" s="79"/>
      <c r="B2" s="79"/>
      <c r="C2" s="79"/>
      <c r="D2" s="79"/>
      <c r="E2" s="79"/>
      <c r="F2" s="79"/>
      <c r="G2" s="79"/>
      <c r="H2" s="79"/>
      <c r="I2" s="79"/>
    </row>
    <row r="3" spans="1:9" ht="15.75" customHeight="1" x14ac:dyDescent="0.2">
      <c r="A3" s="77" t="s">
        <v>2</v>
      </c>
      <c r="B3" s="77"/>
      <c r="C3" s="78" t="str">
        <f>'RESUMEN DE PUNTOS DE VENTA'!$C$3</f>
        <v>CORELLA ARTAVIA VILMA</v>
      </c>
      <c r="D3" s="78"/>
      <c r="E3" s="78"/>
      <c r="F3" s="78"/>
      <c r="G3" s="96" t="s">
        <v>150</v>
      </c>
      <c r="H3" s="96"/>
      <c r="I3" s="41">
        <f>IF('RESUMEN DE PUNTOS DE VENTA'!G$3, 'RESUMEN DE PUNTOS DE VENTA'!G$3, "")</f>
        <v>42150458</v>
      </c>
    </row>
    <row r="4" spans="1:9" ht="16" x14ac:dyDescent="0.2">
      <c r="A4" s="77" t="s">
        <v>3</v>
      </c>
      <c r="B4" s="77"/>
      <c r="C4" s="78">
        <f>'RESUMEN DE PUNTOS DE VENTA'!$C$4</f>
        <v>19596221</v>
      </c>
      <c r="D4" s="78"/>
      <c r="E4" s="78"/>
      <c r="F4" s="78"/>
      <c r="G4" s="78"/>
      <c r="H4" s="78"/>
      <c r="I4" s="78"/>
    </row>
    <row r="5" spans="1:9" ht="15.75" customHeight="1" x14ac:dyDescent="0.2">
      <c r="A5" s="96" t="s">
        <v>79</v>
      </c>
      <c r="B5" s="96"/>
      <c r="C5" s="78">
        <f>'RESUMEN DE PUNTOS DE VENTA'!$C$5</f>
        <v>7026682471</v>
      </c>
      <c r="D5" s="78"/>
      <c r="E5" s="78"/>
      <c r="F5" s="78"/>
      <c r="G5" s="77" t="s">
        <v>151</v>
      </c>
      <c r="H5" s="77"/>
      <c r="I5" s="42">
        <f>'RESUMEN DE PUNTOS DE VENTA'!$G$5</f>
        <v>22</v>
      </c>
    </row>
    <row r="6" spans="1:9" ht="16" x14ac:dyDescent="0.2">
      <c r="A6" s="95"/>
      <c r="B6" s="95"/>
      <c r="C6" s="95"/>
      <c r="D6" s="95"/>
      <c r="E6" s="95"/>
      <c r="F6" s="95"/>
      <c r="G6" s="95"/>
      <c r="H6" s="28"/>
      <c r="I6" s="28"/>
    </row>
    <row r="7" spans="1:9" ht="15" customHeight="1" x14ac:dyDescent="0.2">
      <c r="A7" s="83" t="s">
        <v>149</v>
      </c>
      <c r="B7" s="84"/>
      <c r="C7" s="83" t="s">
        <v>148</v>
      </c>
      <c r="D7" s="101"/>
      <c r="E7" s="101"/>
      <c r="F7" s="101"/>
      <c r="G7" s="84"/>
      <c r="H7" s="97" t="s">
        <v>155</v>
      </c>
      <c r="I7" s="99" t="s">
        <v>154</v>
      </c>
    </row>
    <row r="8" spans="1:9" ht="15" customHeight="1" x14ac:dyDescent="0.2">
      <c r="A8" s="85"/>
      <c r="B8" s="86"/>
      <c r="C8" s="85"/>
      <c r="D8" s="102"/>
      <c r="E8" s="102"/>
      <c r="F8" s="102"/>
      <c r="G8" s="86"/>
      <c r="H8" s="98"/>
      <c r="I8" s="100"/>
    </row>
    <row r="9" spans="1:9" x14ac:dyDescent="0.2">
      <c r="A9" s="92">
        <v>1</v>
      </c>
      <c r="B9" s="93"/>
      <c r="C9" s="94">
        <f>COUNTIFS(CROSSDOCKING!A$1:A$11,"TOTAL",CROSSDOCKING!F$1:F$11,A9)</f>
        <v>1</v>
      </c>
      <c r="D9" s="94"/>
      <c r="E9" s="94"/>
      <c r="F9" s="94"/>
      <c r="G9" s="94"/>
      <c r="H9" s="59">
        <f>C9*A9</f>
        <v>1</v>
      </c>
      <c r="I9" s="60">
        <f>SUMIFS(CROSSDOCKING!E$1:E$11, CROSSDOCKING!A$1:A$11,"TOTAL",CROSSDOCKING!F$1:F$11,A9)</f>
        <v>12</v>
      </c>
    </row>
    <row r="10" spans="1:9" x14ac:dyDescent="0.2">
      <c r="A10" s="90">
        <v>2</v>
      </c>
      <c r="B10" s="91"/>
      <c r="C10" s="91">
        <f>COUNTIFS(CROSSDOCKING!A$1:A$11,"TOTAL",CROSSDOCKING!F$1:F$11,A10)</f>
        <v>0</v>
      </c>
      <c r="D10" s="91"/>
      <c r="E10" s="91"/>
      <c r="F10" s="91"/>
      <c r="G10" s="91"/>
      <c r="H10" s="61">
        <f>C10*A10</f>
        <v>0</v>
      </c>
      <c r="I10" s="62">
        <f>SUMIFS(CROSSDOCKING!E$1:E$11, CROSSDOCKING!A$1:A$11,"TOTAL",CROSSDOCKING!F$1:F$11,A10)</f>
        <v>0</v>
      </c>
    </row>
    <row r="11" spans="1:9" x14ac:dyDescent="0.2">
      <c r="A11" s="92">
        <v>3</v>
      </c>
      <c r="B11" s="93"/>
      <c r="C11" s="94">
        <f>COUNTIFS(CROSSDOCKING!A$1:A$11,"TOTAL",CROSSDOCKING!F$1:F$11,A11)</f>
        <v>0</v>
      </c>
      <c r="D11" s="94"/>
      <c r="E11" s="94"/>
      <c r="F11" s="94"/>
      <c r="G11" s="94"/>
      <c r="H11" s="59">
        <f>C11*A11</f>
        <v>0</v>
      </c>
      <c r="I11" s="60">
        <f>SUMIFS(CROSSDOCKING!E$1:E$11, CROSSDOCKING!A$1:A$11,"TOTAL",CROSSDOCKING!F$1:F$11,A11)</f>
        <v>0</v>
      </c>
    </row>
    <row r="12" spans="1:9" x14ac:dyDescent="0.2">
      <c r="A12" s="90">
        <v>4</v>
      </c>
      <c r="B12" s="91"/>
      <c r="C12" s="91">
        <f>COUNTIFS(CROSSDOCKING!A$1:A$11,"TOTAL",CROSSDOCKING!F$1:F$11,A12)</f>
        <v>0</v>
      </c>
      <c r="D12" s="91"/>
      <c r="E12" s="91"/>
      <c r="F12" s="91"/>
      <c r="G12" s="91"/>
      <c r="H12" s="61">
        <f>C12*A12</f>
        <v>0</v>
      </c>
      <c r="I12" s="62">
        <f>SUMIFS(CROSSDOCKING!E$1:E$11, CROSSDOCKING!A$1:A$11,"TOTAL",CROSSDOCKING!F$1:F$11,A12)</f>
        <v>0</v>
      </c>
    </row>
    <row r="13" spans="1:9" x14ac:dyDescent="0.2">
      <c r="A13" s="87" t="s">
        <v>72</v>
      </c>
      <c r="B13" s="88"/>
      <c r="C13" s="89">
        <f>SUM(C9:C12)</f>
        <v>1</v>
      </c>
      <c r="D13" s="89"/>
      <c r="E13" s="89"/>
      <c r="F13" s="89"/>
      <c r="G13" s="89"/>
      <c r="H13" s="63">
        <f>SUM(H9:H12)</f>
        <v>1</v>
      </c>
      <c r="I13" s="64">
        <f>SUM(I9:I12)</f>
        <v>12</v>
      </c>
    </row>
  </sheetData>
  <mergeCells count="25">
    <mergeCell ref="A6:G6"/>
    <mergeCell ref="C9:G9"/>
    <mergeCell ref="A1:I1"/>
    <mergeCell ref="A2:I2"/>
    <mergeCell ref="C4:I4"/>
    <mergeCell ref="G3:H3"/>
    <mergeCell ref="G5:H5"/>
    <mergeCell ref="C3:F3"/>
    <mergeCell ref="C5:F5"/>
    <mergeCell ref="A3:B3"/>
    <mergeCell ref="A4:B4"/>
    <mergeCell ref="A5:B5"/>
    <mergeCell ref="H7:H8"/>
    <mergeCell ref="I7:I8"/>
    <mergeCell ref="A9:B9"/>
    <mergeCell ref="C7:G8"/>
    <mergeCell ref="A7:B8"/>
    <mergeCell ref="A13:B13"/>
    <mergeCell ref="C13:G13"/>
    <mergeCell ref="A12:B12"/>
    <mergeCell ref="C12:G12"/>
    <mergeCell ref="A11:B11"/>
    <mergeCell ref="C11:G11"/>
    <mergeCell ref="A10:B10"/>
    <mergeCell ref="C10:G10"/>
  </mergeCells>
  <pageMargins left="0.7" right="0.7" top="0.75" bottom="0.75" header="0.3" footer="0.3"/>
  <pageSetup scale="81" fitToHeight="0" orientation="portrait" r:id="rId1"/>
  <headerFooter>
    <oddHeader>&amp;C&amp;"Consolas,Negrita"&amp;15CENTRO DE DISTRIBUCION COYOL
&amp;13DISTRIBUCIÓN POR PUNTO DE VENTA</oddHeader>
    <oddFooter>&amp;L&amp;"-,Negrita"&amp;15Cantidad de cajas&amp;R&amp;"-,Negrita"&amp;15Página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6641B-B8D8-4AE5-94AE-C9A736F0D332}">
  <sheetPr codeName="Hoja3">
    <pageSetUpPr fitToPage="1"/>
  </sheetPr>
  <dimension ref="A1:I12"/>
  <sheetViews>
    <sheetView zoomScale="106" zoomScaleNormal="100" workbookViewId="0">
      <selection activeCell="C4" sqref="C4:I4"/>
    </sheetView>
  </sheetViews>
  <sheetFormatPr baseColWidth="10" defaultColWidth="10.83203125" defaultRowHeight="15" x14ac:dyDescent="0.2"/>
  <cols>
    <col min="1" max="1" width="3.5" style="25" customWidth="1"/>
    <col min="2" max="2" width="14.33203125" style="25" customWidth="1"/>
    <col min="3" max="3" width="53.5" style="25" bestFit="1" customWidth="1"/>
    <col min="4" max="4" width="15.83203125" style="25" bestFit="1" customWidth="1"/>
    <col min="5" max="5" width="5.6640625" style="25" customWidth="1"/>
    <col min="6" max="6" width="11.33203125" style="25" bestFit="1" customWidth="1"/>
    <col min="7" max="7" width="7.5" style="25" customWidth="1"/>
    <col min="8" max="8" width="3.6640625" style="25" customWidth="1"/>
    <col min="9" max="9" width="11" style="25" bestFit="1" customWidth="1"/>
    <col min="10" max="16384" width="10.83203125" style="25"/>
  </cols>
  <sheetData>
    <row r="1" spans="1:9" s="29" customFormat="1" ht="16" customHeight="1" x14ac:dyDescent="0.2">
      <c r="A1" s="104" t="s">
        <v>64</v>
      </c>
      <c r="B1" s="105"/>
      <c r="C1" s="105"/>
      <c r="D1" s="105"/>
      <c r="E1" s="105"/>
      <c r="F1" s="105"/>
      <c r="G1" s="105"/>
      <c r="H1" s="105"/>
      <c r="I1" s="106"/>
    </row>
    <row r="2" spans="1:9" s="29" customFormat="1" ht="16" customHeight="1" x14ac:dyDescent="0.2">
      <c r="A2" s="107" t="s">
        <v>65</v>
      </c>
      <c r="B2" s="108"/>
      <c r="C2" s="108"/>
      <c r="D2" s="108"/>
      <c r="E2" s="108"/>
      <c r="F2" s="108"/>
      <c r="G2" s="108"/>
      <c r="H2" s="108"/>
      <c r="I2" s="109"/>
    </row>
    <row r="3" spans="1:9" s="29" customFormat="1" ht="18" customHeight="1" x14ac:dyDescent="0.2">
      <c r="A3" s="110" t="s">
        <v>66</v>
      </c>
      <c r="B3" s="111"/>
      <c r="C3" s="70">
        <v>3700</v>
      </c>
      <c r="D3" s="69" t="s">
        <v>255</v>
      </c>
      <c r="E3" s="120" t="str">
        <f>VLOOKUP(C3,'PUNTOS DE VENTA'!$A$1:$C$75,3)</f>
        <v>XA045</v>
      </c>
      <c r="F3" s="121"/>
      <c r="G3" s="58" t="s">
        <v>67</v>
      </c>
      <c r="H3" s="112">
        <f>'RESUMEN DE PUNTOS DE VENTA'!$C$5</f>
        <v>7026682471</v>
      </c>
      <c r="I3" s="113"/>
    </row>
    <row r="4" spans="1:9" s="29" customFormat="1" ht="18.75" customHeight="1" x14ac:dyDescent="0.2">
      <c r="A4" s="110" t="s">
        <v>68</v>
      </c>
      <c r="B4" s="111"/>
      <c r="C4" s="122" t="str">
        <f>UPPER(VLOOKUP(C3,'PUNTOS DE VENTA'!$A$1:$B$75,2))</f>
        <v>WALMART SAN SEBASTIAN</v>
      </c>
      <c r="D4" s="122"/>
      <c r="E4" s="122"/>
      <c r="F4" s="122"/>
      <c r="G4" s="122"/>
      <c r="H4" s="122"/>
      <c r="I4" s="123"/>
    </row>
    <row r="5" spans="1:9" s="29" customFormat="1" ht="22.5" customHeight="1" x14ac:dyDescent="0.2">
      <c r="A5" s="124" t="s">
        <v>7</v>
      </c>
      <c r="B5" s="125"/>
      <c r="C5" s="54" t="s">
        <v>33</v>
      </c>
      <c r="D5" s="55" t="s">
        <v>11</v>
      </c>
      <c r="E5" s="55" t="s">
        <v>8</v>
      </c>
      <c r="F5" s="56" t="s">
        <v>69</v>
      </c>
      <c r="G5" s="126" t="s">
        <v>70</v>
      </c>
      <c r="H5" s="127"/>
      <c r="I5" s="57" t="s">
        <v>71</v>
      </c>
    </row>
    <row r="6" spans="1:9" s="29" customFormat="1" x14ac:dyDescent="0.2">
      <c r="A6" s="33">
        <v>1</v>
      </c>
      <c r="B6" s="53">
        <f>IF(SUMIFS('RESUMEN DE PUNTOS DE VENTA'!C$7:C$10,'RESUMEN DE PUNTOS DE VENTA'!A$7:A$10,C3,'RESUMEN DE PUNTOS DE VENTA'!C$7:C$10,"2210395") = 2210395, 2210395, IF(SUMIFS('RESUMEN DE PUNTOS DE VENTA'!C$7:C$10,'RESUMEN DE PUNTOS DE VENTA'!A$7:A$10,C3,'RESUMEN DE PUNTOS DE VENTA'!C$7:C$10,"70468499") = 70468499, 70468499, ""))</f>
        <v>70468499</v>
      </c>
      <c r="C6" s="32" t="str">
        <f>IF(B6&lt;&gt;"",UPPER(VLOOKUP(B6,CATALOGO!$A$8:$E$38,3)),"")</f>
        <v>FUNDA BLANCA 75X48CM</v>
      </c>
      <c r="D6" s="32">
        <f>IF(B6&lt;&gt;"",VLOOKUP(B6,CATALOGO!$A$8:$E$38,2),"")</f>
        <v>7441119600690</v>
      </c>
      <c r="E6" s="30">
        <f>IF(B6&lt;&gt;"",VLOOKUP(B6,CATALOGO!$A$8:$E$38,5),"")</f>
        <v>12</v>
      </c>
      <c r="F6" s="30">
        <f>IF(B6&lt;&gt;"",SUMIFS('RESUMEN DE PUNTOS DE VENTA'!G$7:G$10,'RESUMEN DE PUNTOS DE VENTA'!A$7:A$10,C3,'RESUMEN DE PUNTOS DE VENTA'!C$7:C$10,CROSSDOCKING!B6),"")</f>
        <v>1</v>
      </c>
      <c r="G6" s="114">
        <f>IF(B6&lt;&gt;"",SUMIFS('RESUMEN DE PUNTOS DE VENTA'!H$7:H$10,'RESUMEN DE PUNTOS DE VENTA'!A$7:A$10,C3,'RESUMEN DE PUNTOS DE VENTA'!C$7:C$10,CROSSDOCKING!B6),"")</f>
        <v>1</v>
      </c>
      <c r="H6" s="115" t="e">
        <f>IF(D6&lt;&gt;"",SUMIFS('RESUMEN DE PUNTOS DE VENTA'!#REF!,'RESUMEN DE PUNTOS DE VENTA'!C13:C82,E3,'RESUMEN DE PUNTOS DE VENTA'!E13:E82,CROSSDOCKING!D6),"")</f>
        <v>#REF!</v>
      </c>
      <c r="I6" s="30">
        <f>IF(B6&lt;&gt;"",F6-G6,"")</f>
        <v>0</v>
      </c>
    </row>
    <row r="7" spans="1:9" s="29" customFormat="1" x14ac:dyDescent="0.2">
      <c r="A7" s="33">
        <v>2</v>
      </c>
      <c r="B7" s="31" t="str">
        <f>IF(AND(B6&lt;&gt;"",B6&lt;&gt;70468499),IF(SUMIFS('RESUMEN DE PUNTOS DE VENTA'!C$7:C$10,'RESUMEN DE PUNTOS DE VENTA'!A$7:A$10,C3,'RESUMEN DE PUNTOS DE VENTA'!C$7:C$10,"70468499")=70468499,70468499,""), "")</f>
        <v/>
      </c>
      <c r="C7" s="32" t="str">
        <f>IF(B7&lt;&gt;"",UPPER(VLOOKUP(B7,CATALOGO!$A$8:$E$38,3)),"")</f>
        <v/>
      </c>
      <c r="D7" s="32" t="str">
        <f>IF(B7&lt;&gt;"",VLOOKUP(B7,CATALOGO!$A$8:$E$38,2),"")</f>
        <v/>
      </c>
      <c r="E7" s="30" t="str">
        <f>IF(B7&lt;&gt;"",VLOOKUP(B7,CATALOGO!$A$8:$E$38,5),"")</f>
        <v/>
      </c>
      <c r="F7" s="30" t="str">
        <f>IF(B7&lt;&gt;"",SUMIFS('RESUMEN DE PUNTOS DE VENTA'!G$7:G$10,'RESUMEN DE PUNTOS DE VENTA'!A$7:A$10,C3,'RESUMEN DE PUNTOS DE VENTA'!C$7:C$10,CROSSDOCKING!B7),"")</f>
        <v/>
      </c>
      <c r="G7" s="114" t="str">
        <f>IF(B7&lt;&gt;"",SUMIFS('RESUMEN DE PUNTOS DE VENTA'!H$7:H$10,'RESUMEN DE PUNTOS DE VENTA'!A$7:A$10,C3,'RESUMEN DE PUNTOS DE VENTA'!C$7:C$10,CROSSDOCKING!B7),"")</f>
        <v/>
      </c>
      <c r="H7" s="115" t="str">
        <f>IF(D7&lt;&gt;"",SUMIFS('RESUMEN DE PUNTOS DE VENTA'!#REF!,'RESUMEN DE PUNTOS DE VENTA'!C13:C82,E4,'RESUMEN DE PUNTOS DE VENTA'!E13:E82,CROSSDOCKING!D7),"")</f>
        <v/>
      </c>
      <c r="I7" s="30" t="str">
        <f t="shared" ref="I7:I8" si="0">IF(B7&lt;&gt;"",F7-G7,"")</f>
        <v/>
      </c>
    </row>
    <row r="8" spans="1:9" s="29" customFormat="1" x14ac:dyDescent="0.2">
      <c r="A8" s="33">
        <v>3</v>
      </c>
      <c r="B8" s="31"/>
      <c r="C8" s="32" t="str">
        <f>IF(B8&lt;&gt;"",UPPER(VLOOKUP(B8,CATALOGO!$A$8:$E$38,3)),"")</f>
        <v/>
      </c>
      <c r="D8" s="32" t="str">
        <f>IF(B8&lt;&gt;"",VLOOKUP(B8,CATALOGO!$A$8:$E$38,2),"")</f>
        <v/>
      </c>
      <c r="E8" s="30" t="str">
        <f>IF(B8&lt;&gt;"",VLOOKUP(B8,CATALOGO!$A$8:$E$38,5),"")</f>
        <v/>
      </c>
      <c r="F8" s="30" t="str">
        <f>IF(B8&lt;&gt;"",SUMIFS('RESUMEN DE PUNTOS DE VENTA'!G$7:G$10,'RESUMEN DE PUNTOS DE VENTA'!A$7:A$10,C3,'RESUMEN DE PUNTOS DE VENTA'!C$7:C$10,CROSSDOCKING!B8),"")</f>
        <v/>
      </c>
      <c r="G8" s="114" t="str">
        <f>IF(B8&lt;&gt;"",SUMIFS('RESUMEN DE PUNTOS DE VENTA'!H$7:H$10,'RESUMEN DE PUNTOS DE VENTA'!A$7:A$10,C3,'RESUMEN DE PUNTOS DE VENTA'!C$7:C$10,CROSSDOCKING!B8),"")</f>
        <v/>
      </c>
      <c r="H8" s="115" t="str">
        <f>IF(D8&lt;&gt;"",SUMIFS('RESUMEN DE PUNTOS DE VENTA'!#REF!,'RESUMEN DE PUNTOS DE VENTA'!C13:C82,E5,'RESUMEN DE PUNTOS DE VENTA'!E13:E82,CROSSDOCKING!D8),"")</f>
        <v/>
      </c>
      <c r="I8" s="30" t="str">
        <f t="shared" si="0"/>
        <v/>
      </c>
    </row>
    <row r="9" spans="1:9" s="29" customFormat="1" x14ac:dyDescent="0.2">
      <c r="A9" s="117" t="s">
        <v>72</v>
      </c>
      <c r="B9" s="118"/>
      <c r="C9" s="118"/>
      <c r="D9" s="119"/>
      <c r="E9" s="33">
        <f>(IF(E6&lt;&gt;"",(E6*F6),0)+(IF(E7&lt;&gt;"",(E7*F7),0)+(IF(E8&lt;&gt;"",(E8*F8),0))))</f>
        <v>12</v>
      </c>
      <c r="F9" s="30">
        <f>SUM(F6:F8)</f>
        <v>1</v>
      </c>
      <c r="G9" s="116">
        <f>SUM(G6:G8)</f>
        <v>1</v>
      </c>
      <c r="H9" s="116"/>
      <c r="I9" s="30">
        <f>SUM(I6:I8)</f>
        <v>0</v>
      </c>
    </row>
    <row r="10" spans="1:9" s="29" customFormat="1" ht="15" customHeight="1" x14ac:dyDescent="0.2">
      <c r="A10" s="128" t="s">
        <v>156</v>
      </c>
      <c r="B10" s="129"/>
      <c r="C10" s="65">
        <f>COUNTIF($A$1:I9, "TOTAL")</f>
        <v>1</v>
      </c>
      <c r="D10" s="129" t="s">
        <v>152</v>
      </c>
      <c r="E10" s="129"/>
      <c r="F10" s="130">
        <f>CAJAS!$C$13</f>
        <v>1</v>
      </c>
      <c r="G10" s="130"/>
      <c r="H10" s="130"/>
      <c r="I10" s="131"/>
    </row>
    <row r="11" spans="1:9" s="29" customFormat="1" ht="10" customHeight="1" thickBot="1" x14ac:dyDescent="0.25">
      <c r="A11" s="103"/>
      <c r="B11" s="103"/>
      <c r="C11" s="103"/>
      <c r="D11" s="103"/>
      <c r="E11" s="103"/>
      <c r="F11" s="103"/>
      <c r="G11" s="103"/>
      <c r="H11" s="103"/>
      <c r="I11" s="103"/>
    </row>
    <row r="12" spans="1:9" ht="16" thickTop="1" x14ac:dyDescent="0.2"/>
  </sheetData>
  <mergeCells count="18">
    <mergeCell ref="A11:I11"/>
    <mergeCell ref="A10:B10"/>
    <mergeCell ref="D10:E10"/>
    <mergeCell ref="F10:I10"/>
    <mergeCell ref="A1:I1"/>
    <mergeCell ref="A2:I2"/>
    <mergeCell ref="A3:B3"/>
    <mergeCell ref="H3:I3"/>
    <mergeCell ref="G6:H6"/>
    <mergeCell ref="G7:H7"/>
    <mergeCell ref="G8:H8"/>
    <mergeCell ref="G9:H9"/>
    <mergeCell ref="A9:D9"/>
    <mergeCell ref="E3:F3"/>
    <mergeCell ref="A4:B4"/>
    <mergeCell ref="C4:I4"/>
    <mergeCell ref="A5:B5"/>
    <mergeCell ref="G5:H5"/>
  </mergeCells>
  <pageMargins left="0.7" right="0.7" top="0.75" bottom="0.75" header="0.3" footer="0.3"/>
  <pageSetup scale="67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6E62-A06F-4BC8-8F31-A9B251A1C43B}">
  <sheetPr codeName="Hoja4">
    <pageSetUpPr fitToPage="1"/>
  </sheetPr>
  <dimension ref="A1:K18"/>
  <sheetViews>
    <sheetView zoomScaleNormal="100" workbookViewId="0">
      <selection activeCell="B37" sqref="B37"/>
    </sheetView>
  </sheetViews>
  <sheetFormatPr baseColWidth="10" defaultColWidth="11.5" defaultRowHeight="15" x14ac:dyDescent="0.2"/>
  <cols>
    <col min="1" max="1" width="11.33203125" customWidth="1"/>
    <col min="2" max="2" width="28" bestFit="1" customWidth="1"/>
    <col min="3" max="3" width="12.1640625" bestFit="1" customWidth="1"/>
    <col min="4" max="4" width="17.83203125" customWidth="1"/>
    <col min="5" max="5" width="9.6640625" bestFit="1" customWidth="1"/>
    <col min="6" max="6" width="21.6640625" bestFit="1" customWidth="1"/>
    <col min="7" max="7" width="14.5" style="1" customWidth="1"/>
    <col min="8" max="8" width="5.1640625" bestFit="1" customWidth="1"/>
    <col min="9" max="10" width="10" style="1" customWidth="1"/>
    <col min="11" max="11" width="12.6640625" customWidth="1"/>
  </cols>
  <sheetData>
    <row r="1" spans="1:11" s="5" customFormat="1" ht="20" x14ac:dyDescent="0.2">
      <c r="A1" s="151" t="s">
        <v>73</v>
      </c>
      <c r="B1" s="151"/>
      <c r="C1" s="151"/>
      <c r="D1" s="151"/>
      <c r="E1" s="151"/>
      <c r="F1" s="151"/>
      <c r="G1" s="151"/>
      <c r="H1" s="151"/>
      <c r="I1" s="151"/>
      <c r="J1" s="151"/>
    </row>
    <row r="2" spans="1:11" s="5" customFormat="1" ht="18.75" customHeight="1" x14ac:dyDescent="0.2">
      <c r="A2" s="152" t="s">
        <v>0</v>
      </c>
      <c r="B2" s="152"/>
      <c r="C2" s="152"/>
      <c r="D2" s="152"/>
      <c r="E2" s="152"/>
      <c r="F2" s="152"/>
      <c r="G2" s="152"/>
      <c r="H2" s="152"/>
      <c r="I2" s="152"/>
      <c r="J2" s="152"/>
    </row>
    <row r="3" spans="1:11" s="5" customFormat="1" ht="16" x14ac:dyDescent="0.2">
      <c r="A3" s="136" t="s">
        <v>2</v>
      </c>
      <c r="B3" s="136"/>
      <c r="C3" s="136" t="s">
        <v>1</v>
      </c>
      <c r="D3" s="136"/>
      <c r="E3" s="136"/>
      <c r="F3" s="136"/>
      <c r="G3" s="136"/>
      <c r="H3" s="136"/>
      <c r="I3" s="136"/>
      <c r="J3" s="136"/>
    </row>
    <row r="4" spans="1:11" s="5" customFormat="1" ht="16" x14ac:dyDescent="0.2">
      <c r="A4" s="136" t="s">
        <v>3</v>
      </c>
      <c r="B4" s="136"/>
      <c r="C4" s="136">
        <v>19596</v>
      </c>
      <c r="D4" s="136"/>
      <c r="E4" s="136"/>
      <c r="F4" s="136"/>
      <c r="G4" s="136"/>
      <c r="H4" s="136"/>
      <c r="I4" s="136"/>
      <c r="J4" s="136"/>
    </row>
    <row r="5" spans="1:11" s="5" customFormat="1" ht="16" x14ac:dyDescent="0.2">
      <c r="A5" s="136" t="s">
        <v>79</v>
      </c>
      <c r="B5" s="136"/>
      <c r="C5" s="136">
        <f>'RESUMEN DE PUNTOS DE VENTA'!C5:D5</f>
        <v>7026682471</v>
      </c>
      <c r="D5" s="136"/>
      <c r="E5" s="136" t="s">
        <v>4</v>
      </c>
      <c r="F5" s="136"/>
      <c r="G5" s="137"/>
      <c r="H5" s="137"/>
      <c r="I5" s="137"/>
      <c r="J5" s="137"/>
    </row>
    <row r="6" spans="1:11" s="5" customFormat="1" ht="16" x14ac:dyDescent="0.2">
      <c r="A6" s="150"/>
      <c r="B6" s="150"/>
      <c r="C6" s="150"/>
      <c r="D6" s="150"/>
      <c r="E6" s="150"/>
      <c r="F6" s="150"/>
      <c r="G6" s="150"/>
      <c r="H6" s="150"/>
      <c r="I6" s="150"/>
      <c r="J6" s="150"/>
    </row>
    <row r="7" spans="1:11" x14ac:dyDescent="0.2">
      <c r="A7" s="153" t="s">
        <v>80</v>
      </c>
      <c r="B7" s="153"/>
      <c r="C7" s="153"/>
      <c r="D7" s="153"/>
      <c r="E7" s="153"/>
      <c r="F7" s="153"/>
      <c r="G7" s="153"/>
      <c r="H7" s="153"/>
      <c r="I7" s="153"/>
      <c r="J7" s="153"/>
      <c r="K7" s="10"/>
    </row>
    <row r="8" spans="1:1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1"/>
    </row>
    <row r="9" spans="1:11" s="2" customFormat="1" ht="15" customHeight="1" x14ac:dyDescent="0.2">
      <c r="A9" s="138" t="s">
        <v>5</v>
      </c>
      <c r="B9" s="138" t="s">
        <v>6</v>
      </c>
      <c r="C9" s="138" t="s">
        <v>7</v>
      </c>
      <c r="D9" s="140" t="s">
        <v>12</v>
      </c>
      <c r="E9" s="141"/>
      <c r="F9" s="142"/>
      <c r="G9" s="146" t="s">
        <v>11</v>
      </c>
      <c r="H9" s="146" t="s">
        <v>8</v>
      </c>
      <c r="I9" s="148" t="s">
        <v>9</v>
      </c>
      <c r="J9" s="148" t="s">
        <v>10</v>
      </c>
    </row>
    <row r="10" spans="1:11" s="2" customFormat="1" x14ac:dyDescent="0.2">
      <c r="A10" s="139"/>
      <c r="B10" s="139"/>
      <c r="C10" s="139"/>
      <c r="D10" s="143"/>
      <c r="E10" s="144"/>
      <c r="F10" s="145"/>
      <c r="G10" s="147"/>
      <c r="H10" s="147"/>
      <c r="I10" s="149"/>
      <c r="J10" s="149"/>
    </row>
    <row r="11" spans="1:11" s="2" customFormat="1" x14ac:dyDescent="0.2">
      <c r="A11" s="17">
        <v>3700</v>
      </c>
      <c r="B11" s="17" t="s">
        <v>16</v>
      </c>
      <c r="C11" s="17">
        <v>2645649</v>
      </c>
      <c r="D11" s="132" t="s">
        <v>52</v>
      </c>
      <c r="E11" s="133"/>
      <c r="F11" s="134"/>
      <c r="G11" s="3">
        <v>7441119600171</v>
      </c>
      <c r="H11" s="3">
        <v>3</v>
      </c>
      <c r="I11" s="17">
        <v>2</v>
      </c>
      <c r="J11" s="17">
        <v>1</v>
      </c>
    </row>
    <row r="12" spans="1:11" s="2" customFormat="1" x14ac:dyDescent="0.2">
      <c r="A12" s="17">
        <v>3903</v>
      </c>
      <c r="B12" s="17" t="s">
        <v>29</v>
      </c>
      <c r="C12" s="17">
        <v>2645649</v>
      </c>
      <c r="D12" s="132" t="s">
        <v>52</v>
      </c>
      <c r="E12" s="133"/>
      <c r="F12" s="134"/>
      <c r="G12" s="3">
        <v>7441119600171</v>
      </c>
      <c r="H12" s="3">
        <v>3</v>
      </c>
      <c r="I12" s="17">
        <v>2</v>
      </c>
      <c r="J12" s="17">
        <v>1</v>
      </c>
    </row>
    <row r="13" spans="1:11" s="2" customFormat="1" x14ac:dyDescent="0.2">
      <c r="A13" s="17">
        <v>4099</v>
      </c>
      <c r="B13" s="17" t="s">
        <v>31</v>
      </c>
      <c r="C13" s="17">
        <v>2645649</v>
      </c>
      <c r="D13" s="132" t="s">
        <v>52</v>
      </c>
      <c r="E13" s="133"/>
      <c r="F13" s="134"/>
      <c r="G13" s="3">
        <v>7441119600171</v>
      </c>
      <c r="H13" s="3">
        <v>3</v>
      </c>
      <c r="I13" s="17">
        <v>2</v>
      </c>
      <c r="J13" s="17">
        <v>1</v>
      </c>
    </row>
    <row r="14" spans="1:11" s="2" customFormat="1" x14ac:dyDescent="0.2">
      <c r="A14" s="17">
        <v>3705</v>
      </c>
      <c r="B14" s="17" t="s">
        <v>19</v>
      </c>
      <c r="C14" s="17">
        <v>2647973</v>
      </c>
      <c r="D14" s="132" t="s">
        <v>56</v>
      </c>
      <c r="E14" s="133"/>
      <c r="F14" s="134"/>
      <c r="G14" s="3">
        <v>7441119600768</v>
      </c>
      <c r="H14" s="3">
        <v>3</v>
      </c>
      <c r="I14" s="17">
        <v>3</v>
      </c>
      <c r="J14" s="17">
        <v>2</v>
      </c>
    </row>
    <row r="15" spans="1:11" s="2" customFormat="1" x14ac:dyDescent="0.2">
      <c r="A15" s="17">
        <v>3900</v>
      </c>
      <c r="B15" s="17" t="s">
        <v>27</v>
      </c>
      <c r="C15" s="17">
        <v>2647973</v>
      </c>
      <c r="D15" s="132" t="s">
        <v>56</v>
      </c>
      <c r="E15" s="133"/>
      <c r="F15" s="134"/>
      <c r="G15" s="3">
        <v>7441119600768</v>
      </c>
      <c r="H15" s="3">
        <v>3</v>
      </c>
      <c r="I15" s="17">
        <v>3</v>
      </c>
      <c r="J15" s="17">
        <v>2</v>
      </c>
    </row>
    <row r="16" spans="1:11" s="2" customFormat="1" x14ac:dyDescent="0.2">
      <c r="A16" s="17">
        <v>3901</v>
      </c>
      <c r="B16" s="17" t="s">
        <v>28</v>
      </c>
      <c r="C16" s="17">
        <v>2647973</v>
      </c>
      <c r="D16" s="132" t="s">
        <v>56</v>
      </c>
      <c r="E16" s="133"/>
      <c r="F16" s="134"/>
      <c r="G16" s="3">
        <v>7441119600768</v>
      </c>
      <c r="H16" s="3">
        <v>3</v>
      </c>
      <c r="I16" s="17">
        <v>3</v>
      </c>
      <c r="J16" s="17">
        <v>2</v>
      </c>
    </row>
    <row r="17" spans="1:10" s="2" customFormat="1" x14ac:dyDescent="0.2">
      <c r="A17" s="17">
        <v>4004</v>
      </c>
      <c r="B17" s="17" t="s">
        <v>30</v>
      </c>
      <c r="C17" s="17">
        <v>2647973</v>
      </c>
      <c r="D17" s="132" t="s">
        <v>56</v>
      </c>
      <c r="E17" s="133"/>
      <c r="F17" s="134"/>
      <c r="G17" s="3">
        <v>7441119600768</v>
      </c>
      <c r="H17" s="3">
        <v>3</v>
      </c>
      <c r="I17" s="17">
        <v>3</v>
      </c>
      <c r="J17" s="17">
        <v>2</v>
      </c>
    </row>
    <row r="18" spans="1:10" x14ac:dyDescent="0.2">
      <c r="A18" s="135"/>
      <c r="B18" s="135"/>
      <c r="C18" s="135"/>
      <c r="D18" s="135"/>
      <c r="E18" s="135"/>
      <c r="F18" s="135"/>
      <c r="G18" s="135"/>
      <c r="H18" s="135"/>
      <c r="I18" s="135"/>
      <c r="J18" s="135"/>
    </row>
  </sheetData>
  <mergeCells count="29">
    <mergeCell ref="A1:J1"/>
    <mergeCell ref="A2:J2"/>
    <mergeCell ref="A3:B3"/>
    <mergeCell ref="A4:B4"/>
    <mergeCell ref="D14:F14"/>
    <mergeCell ref="C3:J3"/>
    <mergeCell ref="C4:J4"/>
    <mergeCell ref="D11:F11"/>
    <mergeCell ref="D12:F12"/>
    <mergeCell ref="D13:F13"/>
    <mergeCell ref="A5:B5"/>
    <mergeCell ref="A7:J7"/>
    <mergeCell ref="A8:J8"/>
    <mergeCell ref="A9:A10"/>
    <mergeCell ref="H9:H10"/>
    <mergeCell ref="J9:J10"/>
    <mergeCell ref="D15:F15"/>
    <mergeCell ref="D16:F16"/>
    <mergeCell ref="D17:F17"/>
    <mergeCell ref="A18:J18"/>
    <mergeCell ref="E5:F5"/>
    <mergeCell ref="C5:D5"/>
    <mergeCell ref="G5:J5"/>
    <mergeCell ref="B9:B10"/>
    <mergeCell ref="C9:C10"/>
    <mergeCell ref="D9:F10"/>
    <mergeCell ref="G9:G10"/>
    <mergeCell ref="I9:I10"/>
    <mergeCell ref="A6:J6"/>
  </mergeCells>
  <pageMargins left="0.25" right="0.25" top="0.75" bottom="0.75" header="0.3" footer="0.3"/>
  <pageSetup scale="72" fitToHeight="0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6CE6E-40BE-40BF-8A90-51ACE22AA141}">
  <sheetPr codeName="Hoja5">
    <pageSetUpPr fitToPage="1"/>
  </sheetPr>
  <dimension ref="A1:I14"/>
  <sheetViews>
    <sheetView zoomScaleNormal="100" workbookViewId="0">
      <selection activeCell="A20" sqref="A20"/>
    </sheetView>
  </sheetViews>
  <sheetFormatPr baseColWidth="10" defaultColWidth="11.5" defaultRowHeight="15" x14ac:dyDescent="0.2"/>
  <cols>
    <col min="1" max="1" width="13.5" customWidth="1"/>
    <col min="2" max="2" width="14.33203125" customWidth="1"/>
    <col min="3" max="3" width="28.5" customWidth="1"/>
    <col min="4" max="4" width="17.83203125" customWidth="1"/>
    <col min="5" max="5" width="10" style="1" customWidth="1"/>
    <col min="6" max="6" width="5" customWidth="1"/>
    <col min="7" max="7" width="11.1640625" style="1" customWidth="1"/>
    <col min="8" max="8" width="12.6640625" customWidth="1"/>
  </cols>
  <sheetData>
    <row r="1" spans="1:9" s="5" customFormat="1" ht="20" x14ac:dyDescent="0.2">
      <c r="A1" s="151" t="s">
        <v>73</v>
      </c>
      <c r="B1" s="151"/>
      <c r="C1" s="151"/>
      <c r="D1" s="151"/>
      <c r="E1" s="151"/>
      <c r="F1" s="151"/>
      <c r="G1" s="151"/>
      <c r="H1" s="18"/>
      <c r="I1" s="18"/>
    </row>
    <row r="2" spans="1:9" s="5" customFormat="1" ht="18.75" customHeight="1" x14ac:dyDescent="0.2">
      <c r="A2" s="152" t="s">
        <v>0</v>
      </c>
      <c r="B2" s="152"/>
      <c r="C2" s="152"/>
      <c r="D2" s="152"/>
      <c r="E2" s="152"/>
      <c r="F2" s="152"/>
      <c r="G2" s="152"/>
      <c r="H2" s="7"/>
      <c r="I2" s="7"/>
    </row>
    <row r="3" spans="1:9" s="5" customFormat="1" ht="16" x14ac:dyDescent="0.2">
      <c r="A3" s="136" t="s">
        <v>2</v>
      </c>
      <c r="B3" s="136"/>
      <c r="C3" s="136" t="s">
        <v>1</v>
      </c>
      <c r="D3" s="136"/>
      <c r="E3" s="136"/>
      <c r="F3" s="136"/>
      <c r="G3" s="136"/>
      <c r="H3" s="6"/>
      <c r="I3" s="6"/>
    </row>
    <row r="4" spans="1:9" s="5" customFormat="1" ht="16" x14ac:dyDescent="0.2">
      <c r="A4" s="136" t="s">
        <v>3</v>
      </c>
      <c r="B4" s="136"/>
      <c r="C4" s="136">
        <v>19596</v>
      </c>
      <c r="D4" s="136"/>
      <c r="E4" s="136"/>
      <c r="F4" s="136"/>
      <c r="G4" s="136"/>
      <c r="H4" s="6"/>
      <c r="I4" s="6"/>
    </row>
    <row r="5" spans="1:9" s="5" customFormat="1" ht="16" x14ac:dyDescent="0.2">
      <c r="A5" s="136" t="s">
        <v>79</v>
      </c>
      <c r="B5" s="136"/>
      <c r="C5" s="14">
        <f>'RESUMEN DE PUNTOS DE VENTA'!C5:D5</f>
        <v>7026682471</v>
      </c>
      <c r="D5" s="136" t="s">
        <v>4</v>
      </c>
      <c r="E5" s="136"/>
      <c r="F5" s="136"/>
      <c r="G5" s="20">
        <v>9244425</v>
      </c>
      <c r="H5" s="21"/>
      <c r="I5" s="21"/>
    </row>
    <row r="6" spans="1:9" s="5" customFormat="1" ht="16" x14ac:dyDescent="0.2">
      <c r="A6" s="150"/>
      <c r="B6" s="150"/>
      <c r="C6" s="150"/>
      <c r="D6" s="150"/>
      <c r="E6" s="150"/>
      <c r="F6" s="150"/>
      <c r="G6" s="150"/>
      <c r="H6" s="14"/>
      <c r="I6" s="14"/>
    </row>
    <row r="7" spans="1:9" x14ac:dyDescent="0.2">
      <c r="A7" s="157" t="s">
        <v>84</v>
      </c>
      <c r="B7" s="157"/>
      <c r="C7" s="157"/>
      <c r="D7" s="157"/>
      <c r="E7" s="157"/>
      <c r="F7" s="157"/>
      <c r="G7" s="157"/>
      <c r="H7" s="12"/>
      <c r="I7" s="12"/>
    </row>
    <row r="8" spans="1:9" x14ac:dyDescent="0.2">
      <c r="A8" s="157"/>
      <c r="B8" s="157"/>
      <c r="C8" s="157"/>
      <c r="D8" s="157"/>
      <c r="E8" s="157"/>
      <c r="F8" s="157"/>
      <c r="G8" s="157"/>
      <c r="H8" s="4"/>
      <c r="I8" s="4"/>
    </row>
    <row r="9" spans="1:9" x14ac:dyDescent="0.2">
      <c r="A9" s="154"/>
      <c r="B9" s="154"/>
      <c r="C9" s="154"/>
      <c r="D9" s="154"/>
      <c r="E9" s="154"/>
      <c r="F9" s="154"/>
      <c r="G9" s="154"/>
      <c r="H9" s="11"/>
    </row>
    <row r="10" spans="1:9" s="9" customFormat="1" ht="15" customHeight="1" x14ac:dyDescent="0.2">
      <c r="A10" s="159" t="s">
        <v>7</v>
      </c>
      <c r="B10" s="138" t="s">
        <v>75</v>
      </c>
      <c r="C10" s="138"/>
      <c r="D10" s="159" t="s">
        <v>11</v>
      </c>
      <c r="E10" s="159" t="s">
        <v>9</v>
      </c>
      <c r="F10" s="159" t="s">
        <v>8</v>
      </c>
      <c r="G10" s="159" t="s">
        <v>76</v>
      </c>
    </row>
    <row r="11" spans="1:9" s="9" customFormat="1" ht="15" customHeight="1" x14ac:dyDescent="0.2">
      <c r="A11" s="159"/>
      <c r="B11" s="139" t="s">
        <v>77</v>
      </c>
      <c r="C11" s="139"/>
      <c r="D11" s="159"/>
      <c r="E11" s="159" t="s">
        <v>78</v>
      </c>
      <c r="F11" s="159"/>
      <c r="G11" s="159"/>
    </row>
    <row r="12" spans="1:9" ht="16" x14ac:dyDescent="0.2">
      <c r="A12" s="16">
        <v>2645649</v>
      </c>
      <c r="B12" s="158" t="str">
        <f>VLOOKUP(A12,CATALOGO!$A$9:$C$37,3)</f>
        <v>funda bebe cuadrada celeste docoma</v>
      </c>
      <c r="C12" s="158"/>
      <c r="D12" s="3">
        <f>VLOOKUP(A12,CATALOGO!$A$9:$C$37,2)</f>
        <v>7441119600171</v>
      </c>
      <c r="E12" s="13">
        <v>5</v>
      </c>
      <c r="F12" s="13">
        <v>3</v>
      </c>
      <c r="G12" s="19">
        <f>E12</f>
        <v>5</v>
      </c>
    </row>
    <row r="13" spans="1:9" x14ac:dyDescent="0.2">
      <c r="A13" s="155" t="s">
        <v>83</v>
      </c>
      <c r="B13" s="156"/>
      <c r="C13" s="156"/>
      <c r="D13" s="156"/>
      <c r="E13" s="156"/>
      <c r="F13" s="156"/>
      <c r="G13" s="15">
        <f>SUM(G12:G12)</f>
        <v>5</v>
      </c>
    </row>
    <row r="14" spans="1:9" x14ac:dyDescent="0.2">
      <c r="A14" s="135"/>
      <c r="B14" s="135"/>
      <c r="C14" s="135"/>
      <c r="D14" s="135"/>
      <c r="E14" s="135"/>
      <c r="F14" s="135"/>
      <c r="G14" s="135"/>
    </row>
  </sheetData>
  <mergeCells count="21">
    <mergeCell ref="A1:G1"/>
    <mergeCell ref="A2:G2"/>
    <mergeCell ref="A3:B3"/>
    <mergeCell ref="C3:G3"/>
    <mergeCell ref="A4:B4"/>
    <mergeCell ref="C4:G4"/>
    <mergeCell ref="A14:G14"/>
    <mergeCell ref="A13:F13"/>
    <mergeCell ref="A7:G8"/>
    <mergeCell ref="A5:B5"/>
    <mergeCell ref="D5:F5"/>
    <mergeCell ref="A6:G6"/>
    <mergeCell ref="A9:G9"/>
    <mergeCell ref="B12:C12"/>
    <mergeCell ref="E10:E11"/>
    <mergeCell ref="A10:A11"/>
    <mergeCell ref="B10:C10"/>
    <mergeCell ref="D10:D11"/>
    <mergeCell ref="F10:F11"/>
    <mergeCell ref="G10:G11"/>
    <mergeCell ref="B11:C11"/>
  </mergeCells>
  <pageMargins left="0.7" right="0.7" top="0.75" bottom="0.75" header="0.3" footer="0.3"/>
  <pageSetup scale="90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76C3-9194-4491-98A2-A04A178391CF}">
  <sheetPr codeName="Hoja6"/>
  <dimension ref="A1:D75"/>
  <sheetViews>
    <sheetView zoomScale="115" zoomScaleNormal="115" workbookViewId="0">
      <selection activeCell="C19" sqref="C19"/>
    </sheetView>
  </sheetViews>
  <sheetFormatPr baseColWidth="10" defaultColWidth="10.83203125" defaultRowHeight="15" x14ac:dyDescent="0.2"/>
  <cols>
    <col min="1" max="1" width="14.83203125" style="37" customWidth="1"/>
    <col min="2" max="2" width="37.1640625" style="37" bestFit="1" customWidth="1"/>
    <col min="3" max="3" width="15.5" style="37" customWidth="1"/>
    <col min="4" max="16384" width="10.83203125" style="25"/>
  </cols>
  <sheetData>
    <row r="1" spans="1:4" ht="19" thickBot="1" x14ac:dyDescent="0.25">
      <c r="A1" s="52" t="s">
        <v>158</v>
      </c>
      <c r="B1" s="52" t="s">
        <v>159</v>
      </c>
      <c r="C1" s="52" t="s">
        <v>254</v>
      </c>
      <c r="D1" s="52" t="s">
        <v>32</v>
      </c>
    </row>
    <row r="2" spans="1:4" x14ac:dyDescent="0.2">
      <c r="A2" s="38">
        <v>700</v>
      </c>
      <c r="B2" s="39" t="s">
        <v>14</v>
      </c>
      <c r="C2" s="39" t="s">
        <v>170</v>
      </c>
      <c r="D2" s="38" t="s">
        <v>15</v>
      </c>
    </row>
    <row r="3" spans="1:4" x14ac:dyDescent="0.2">
      <c r="A3" s="50">
        <v>717</v>
      </c>
      <c r="B3" s="51" t="s">
        <v>101</v>
      </c>
      <c r="C3" s="51" t="s">
        <v>171</v>
      </c>
      <c r="D3" s="50" t="s">
        <v>26</v>
      </c>
    </row>
    <row r="4" spans="1:4" x14ac:dyDescent="0.2">
      <c r="A4" s="50">
        <v>718</v>
      </c>
      <c r="B4" s="51" t="s">
        <v>102</v>
      </c>
      <c r="C4" s="51" t="s">
        <v>172</v>
      </c>
      <c r="D4" s="50" t="s">
        <v>26</v>
      </c>
    </row>
    <row r="5" spans="1:4" x14ac:dyDescent="0.2">
      <c r="A5" s="50">
        <v>733</v>
      </c>
      <c r="B5" s="51" t="s">
        <v>103</v>
      </c>
      <c r="C5" s="51" t="s">
        <v>173</v>
      </c>
      <c r="D5" s="50" t="s">
        <v>26</v>
      </c>
    </row>
    <row r="6" spans="1:4" x14ac:dyDescent="0.2">
      <c r="A6" s="39">
        <v>768</v>
      </c>
      <c r="B6" s="39" t="s">
        <v>81</v>
      </c>
      <c r="C6" s="39" t="s">
        <v>174</v>
      </c>
      <c r="D6" s="38" t="s">
        <v>15</v>
      </c>
    </row>
    <row r="7" spans="1:4" x14ac:dyDescent="0.2">
      <c r="A7" s="50">
        <v>769</v>
      </c>
      <c r="B7" s="51" t="s">
        <v>104</v>
      </c>
      <c r="C7" s="51" t="s">
        <v>175</v>
      </c>
      <c r="D7" s="50" t="s">
        <v>26</v>
      </c>
    </row>
    <row r="8" spans="1:4" x14ac:dyDescent="0.2">
      <c r="A8" s="50">
        <v>778</v>
      </c>
      <c r="B8" s="51" t="s">
        <v>105</v>
      </c>
      <c r="C8" s="51" t="s">
        <v>176</v>
      </c>
      <c r="D8" s="50" t="s">
        <v>26</v>
      </c>
    </row>
    <row r="9" spans="1:4" x14ac:dyDescent="0.2">
      <c r="A9" s="50">
        <v>793</v>
      </c>
      <c r="B9" s="51" t="s">
        <v>106</v>
      </c>
      <c r="C9" s="51" t="s">
        <v>177</v>
      </c>
      <c r="D9" s="50" t="s">
        <v>26</v>
      </c>
    </row>
    <row r="10" spans="1:4" x14ac:dyDescent="0.2">
      <c r="A10" s="50">
        <v>806</v>
      </c>
      <c r="B10" s="50" t="s">
        <v>107</v>
      </c>
      <c r="C10" s="50" t="s">
        <v>178</v>
      </c>
      <c r="D10" s="50" t="s">
        <v>26</v>
      </c>
    </row>
    <row r="11" spans="1:4" x14ac:dyDescent="0.2">
      <c r="A11" s="50">
        <v>827</v>
      </c>
      <c r="B11" s="50" t="s">
        <v>108</v>
      </c>
      <c r="C11" s="50" t="s">
        <v>179</v>
      </c>
      <c r="D11" s="50" t="s">
        <v>26</v>
      </c>
    </row>
    <row r="12" spans="1:4" x14ac:dyDescent="0.2">
      <c r="A12" s="50">
        <v>828</v>
      </c>
      <c r="B12" s="50" t="s">
        <v>109</v>
      </c>
      <c r="C12" s="50" t="s">
        <v>180</v>
      </c>
      <c r="D12" s="50" t="s">
        <v>26</v>
      </c>
    </row>
    <row r="13" spans="1:4" x14ac:dyDescent="0.2">
      <c r="A13" s="38">
        <v>829</v>
      </c>
      <c r="B13" s="39" t="s">
        <v>82</v>
      </c>
      <c r="C13" s="39" t="s">
        <v>181</v>
      </c>
      <c r="D13" s="38" t="s">
        <v>15</v>
      </c>
    </row>
    <row r="14" spans="1:4" x14ac:dyDescent="0.2">
      <c r="A14" s="38">
        <v>831</v>
      </c>
      <c r="B14" s="39" t="s">
        <v>85</v>
      </c>
      <c r="C14" s="39" t="s">
        <v>182</v>
      </c>
      <c r="D14" s="38" t="s">
        <v>15</v>
      </c>
    </row>
    <row r="15" spans="1:4" x14ac:dyDescent="0.2">
      <c r="A15" s="50">
        <v>930</v>
      </c>
      <c r="B15" s="50" t="s">
        <v>110</v>
      </c>
      <c r="C15" s="50" t="s">
        <v>183</v>
      </c>
      <c r="D15" s="50" t="s">
        <v>26</v>
      </c>
    </row>
    <row r="16" spans="1:4" x14ac:dyDescent="0.2">
      <c r="A16" s="50">
        <v>939</v>
      </c>
      <c r="B16" s="50" t="s">
        <v>184</v>
      </c>
      <c r="C16" s="50" t="s">
        <v>185</v>
      </c>
      <c r="D16" s="50" t="s">
        <v>26</v>
      </c>
    </row>
    <row r="17" spans="1:4" x14ac:dyDescent="0.2">
      <c r="A17" s="50">
        <v>958</v>
      </c>
      <c r="B17" s="50" t="s">
        <v>162</v>
      </c>
      <c r="C17" s="50" t="s">
        <v>186</v>
      </c>
      <c r="D17" s="50" t="s">
        <v>26</v>
      </c>
    </row>
    <row r="18" spans="1:4" ht="15.75" customHeight="1" x14ac:dyDescent="0.2">
      <c r="A18" s="50">
        <v>965</v>
      </c>
      <c r="B18" s="50" t="s">
        <v>157</v>
      </c>
      <c r="C18" s="50" t="s">
        <v>187</v>
      </c>
      <c r="D18" s="50" t="s">
        <v>26</v>
      </c>
    </row>
    <row r="19" spans="1:4" x14ac:dyDescent="0.2">
      <c r="A19" s="50">
        <v>966</v>
      </c>
      <c r="B19" s="50" t="s">
        <v>188</v>
      </c>
      <c r="C19" s="50" t="s">
        <v>189</v>
      </c>
      <c r="D19" s="50" t="s">
        <v>26</v>
      </c>
    </row>
    <row r="20" spans="1:4" x14ac:dyDescent="0.2">
      <c r="A20" s="50">
        <v>978</v>
      </c>
      <c r="B20" s="50" t="s">
        <v>190</v>
      </c>
      <c r="C20" s="50" t="s">
        <v>191</v>
      </c>
      <c r="D20" s="50" t="s">
        <v>26</v>
      </c>
    </row>
    <row r="21" spans="1:4" x14ac:dyDescent="0.2">
      <c r="A21" s="50">
        <v>981</v>
      </c>
      <c r="B21" s="50" t="s">
        <v>192</v>
      </c>
      <c r="C21" s="50" t="s">
        <v>193</v>
      </c>
      <c r="D21" s="50" t="s">
        <v>26</v>
      </c>
    </row>
    <row r="22" spans="1:4" x14ac:dyDescent="0.2">
      <c r="A22" s="50">
        <v>988</v>
      </c>
      <c r="B22" s="50" t="s">
        <v>194</v>
      </c>
      <c r="C22" s="50" t="s">
        <v>195</v>
      </c>
      <c r="D22" s="50" t="s">
        <v>26</v>
      </c>
    </row>
    <row r="23" spans="1:4" x14ac:dyDescent="0.2">
      <c r="A23" s="38">
        <v>1046</v>
      </c>
      <c r="B23" s="39" t="s">
        <v>196</v>
      </c>
      <c r="C23" s="39" t="s">
        <v>197</v>
      </c>
      <c r="D23" s="38" t="s">
        <v>15</v>
      </c>
    </row>
    <row r="24" spans="1:4" x14ac:dyDescent="0.2">
      <c r="A24" s="50">
        <v>1064</v>
      </c>
      <c r="B24" s="50" t="s">
        <v>198</v>
      </c>
      <c r="C24" s="50" t="s">
        <v>199</v>
      </c>
      <c r="D24" s="50" t="s">
        <v>26</v>
      </c>
    </row>
    <row r="25" spans="1:4" x14ac:dyDescent="0.2">
      <c r="A25" s="50">
        <v>3022</v>
      </c>
      <c r="B25" s="51" t="s">
        <v>147</v>
      </c>
      <c r="C25" s="51" t="s">
        <v>200</v>
      </c>
      <c r="D25" s="50" t="s">
        <v>26</v>
      </c>
    </row>
    <row r="26" spans="1:4" x14ac:dyDescent="0.2">
      <c r="A26" s="50">
        <v>3048</v>
      </c>
      <c r="B26" s="51" t="s">
        <v>111</v>
      </c>
      <c r="C26" s="51" t="s">
        <v>201</v>
      </c>
      <c r="D26" s="50" t="s">
        <v>26</v>
      </c>
    </row>
    <row r="27" spans="1:4" x14ac:dyDescent="0.2">
      <c r="A27" s="50">
        <v>3111</v>
      </c>
      <c r="B27" s="51" t="s">
        <v>202</v>
      </c>
      <c r="C27" s="51" t="s">
        <v>203</v>
      </c>
      <c r="D27" s="50" t="s">
        <v>26</v>
      </c>
    </row>
    <row r="28" spans="1:4" x14ac:dyDescent="0.2">
      <c r="A28" s="50">
        <v>3112</v>
      </c>
      <c r="B28" s="51" t="s">
        <v>204</v>
      </c>
      <c r="C28" s="51" t="s">
        <v>205</v>
      </c>
      <c r="D28" s="50" t="s">
        <v>26</v>
      </c>
    </row>
    <row r="29" spans="1:4" x14ac:dyDescent="0.2">
      <c r="A29" s="50">
        <v>3119</v>
      </c>
      <c r="B29" s="51" t="s">
        <v>112</v>
      </c>
      <c r="C29" s="51" t="s">
        <v>206</v>
      </c>
      <c r="D29" s="50" t="s">
        <v>26</v>
      </c>
    </row>
    <row r="30" spans="1:4" x14ac:dyDescent="0.2">
      <c r="A30" s="38">
        <v>3700</v>
      </c>
      <c r="B30" s="39" t="s">
        <v>16</v>
      </c>
      <c r="C30" s="39" t="s">
        <v>197</v>
      </c>
      <c r="D30" s="38" t="s">
        <v>15</v>
      </c>
    </row>
    <row r="31" spans="1:4" x14ac:dyDescent="0.2">
      <c r="A31" s="38">
        <v>3701</v>
      </c>
      <c r="B31" s="39" t="s">
        <v>17</v>
      </c>
      <c r="C31" s="39" t="s">
        <v>207</v>
      </c>
      <c r="D31" s="38" t="s">
        <v>15</v>
      </c>
    </row>
    <row r="32" spans="1:4" x14ac:dyDescent="0.2">
      <c r="A32" s="38">
        <v>3702</v>
      </c>
      <c r="B32" s="38" t="s">
        <v>18</v>
      </c>
      <c r="C32" s="38" t="s">
        <v>208</v>
      </c>
      <c r="D32" s="38" t="s">
        <v>15</v>
      </c>
    </row>
    <row r="33" spans="1:4" x14ac:dyDescent="0.2">
      <c r="A33" s="38">
        <v>3705</v>
      </c>
      <c r="B33" s="38" t="s">
        <v>19</v>
      </c>
      <c r="C33" s="38" t="s">
        <v>209</v>
      </c>
      <c r="D33" s="38" t="s">
        <v>15</v>
      </c>
    </row>
    <row r="34" spans="1:4" x14ac:dyDescent="0.2">
      <c r="A34" s="50">
        <v>3900</v>
      </c>
      <c r="B34" s="50" t="s">
        <v>113</v>
      </c>
      <c r="C34" s="50" t="s">
        <v>210</v>
      </c>
      <c r="D34" s="50" t="s">
        <v>26</v>
      </c>
    </row>
    <row r="35" spans="1:4" x14ac:dyDescent="0.2">
      <c r="A35" s="50">
        <v>3901</v>
      </c>
      <c r="B35" s="50" t="s">
        <v>114</v>
      </c>
      <c r="C35" s="50" t="s">
        <v>211</v>
      </c>
      <c r="D35" s="50" t="s">
        <v>26</v>
      </c>
    </row>
    <row r="36" spans="1:4" x14ac:dyDescent="0.2">
      <c r="A36" s="50">
        <v>3903</v>
      </c>
      <c r="B36" s="50" t="s">
        <v>115</v>
      </c>
      <c r="C36" s="50" t="s">
        <v>212</v>
      </c>
      <c r="D36" s="50" t="s">
        <v>26</v>
      </c>
    </row>
    <row r="37" spans="1:4" x14ac:dyDescent="0.2">
      <c r="A37" s="50">
        <v>3904</v>
      </c>
      <c r="B37" s="50" t="s">
        <v>116</v>
      </c>
      <c r="C37" s="50" t="s">
        <v>213</v>
      </c>
      <c r="D37" s="50" t="s">
        <v>26</v>
      </c>
    </row>
    <row r="38" spans="1:4" x14ac:dyDescent="0.2">
      <c r="A38" s="50">
        <v>3905</v>
      </c>
      <c r="B38" s="50" t="s">
        <v>117</v>
      </c>
      <c r="C38" s="50" t="s">
        <v>214</v>
      </c>
      <c r="D38" s="50" t="s">
        <v>26</v>
      </c>
    </row>
    <row r="39" spans="1:4" x14ac:dyDescent="0.2">
      <c r="A39" s="50">
        <v>4004</v>
      </c>
      <c r="B39" s="50" t="s">
        <v>118</v>
      </c>
      <c r="C39" s="50" t="s">
        <v>215</v>
      </c>
      <c r="D39" s="50" t="s">
        <v>26</v>
      </c>
    </row>
    <row r="40" spans="1:4" x14ac:dyDescent="0.2">
      <c r="A40" s="38">
        <v>4006</v>
      </c>
      <c r="B40" s="38" t="s">
        <v>20</v>
      </c>
      <c r="C40" s="38" t="s">
        <v>216</v>
      </c>
      <c r="D40" s="38" t="s">
        <v>15</v>
      </c>
    </row>
    <row r="41" spans="1:4" x14ac:dyDescent="0.2">
      <c r="A41" s="50">
        <v>4029</v>
      </c>
      <c r="B41" s="50" t="s">
        <v>119</v>
      </c>
      <c r="C41" s="50" t="s">
        <v>217</v>
      </c>
      <c r="D41" s="50" t="s">
        <v>26</v>
      </c>
    </row>
    <row r="42" spans="1:4" x14ac:dyDescent="0.2">
      <c r="A42" s="50">
        <v>4030</v>
      </c>
      <c r="B42" s="50" t="s">
        <v>120</v>
      </c>
      <c r="C42" s="50" t="s">
        <v>218</v>
      </c>
      <c r="D42" s="50" t="s">
        <v>26</v>
      </c>
    </row>
    <row r="43" spans="1:4" x14ac:dyDescent="0.2">
      <c r="A43" s="50">
        <v>4031</v>
      </c>
      <c r="B43" s="50" t="s">
        <v>121</v>
      </c>
      <c r="C43" s="50" t="s">
        <v>219</v>
      </c>
      <c r="D43" s="50" t="s">
        <v>26</v>
      </c>
    </row>
    <row r="44" spans="1:4" x14ac:dyDescent="0.2">
      <c r="A44" s="38">
        <v>4032</v>
      </c>
      <c r="B44" s="38" t="s">
        <v>21</v>
      </c>
      <c r="C44" s="38" t="s">
        <v>220</v>
      </c>
      <c r="D44" s="38" t="s">
        <v>15</v>
      </c>
    </row>
    <row r="45" spans="1:4" x14ac:dyDescent="0.2">
      <c r="A45" s="50">
        <v>4075</v>
      </c>
      <c r="B45" s="50" t="s">
        <v>122</v>
      </c>
      <c r="C45" s="50" t="s">
        <v>221</v>
      </c>
      <c r="D45" s="50" t="s">
        <v>26</v>
      </c>
    </row>
    <row r="46" spans="1:4" x14ac:dyDescent="0.2">
      <c r="A46" s="50">
        <v>4099</v>
      </c>
      <c r="B46" s="50" t="s">
        <v>123</v>
      </c>
      <c r="C46" s="50" t="s">
        <v>222</v>
      </c>
      <c r="D46" s="50" t="s">
        <v>26</v>
      </c>
    </row>
    <row r="47" spans="1:4" x14ac:dyDescent="0.2">
      <c r="A47" s="50">
        <v>4109</v>
      </c>
      <c r="B47" s="50" t="s">
        <v>124</v>
      </c>
      <c r="C47" s="50" t="s">
        <v>223</v>
      </c>
      <c r="D47" s="50" t="s">
        <v>26</v>
      </c>
    </row>
    <row r="48" spans="1:4" x14ac:dyDescent="0.2">
      <c r="A48" s="50">
        <v>4136</v>
      </c>
      <c r="B48" s="50" t="s">
        <v>125</v>
      </c>
      <c r="C48" s="50" t="s">
        <v>224</v>
      </c>
      <c r="D48" s="50" t="s">
        <v>26</v>
      </c>
    </row>
    <row r="49" spans="1:4" x14ac:dyDescent="0.2">
      <c r="A49" s="50">
        <v>4194</v>
      </c>
      <c r="B49" s="50" t="s">
        <v>126</v>
      </c>
      <c r="C49" s="50" t="s">
        <v>225</v>
      </c>
      <c r="D49" s="50" t="s">
        <v>26</v>
      </c>
    </row>
    <row r="50" spans="1:4" x14ac:dyDescent="0.2">
      <c r="A50" s="50">
        <v>4195</v>
      </c>
      <c r="B50" s="50" t="s">
        <v>127</v>
      </c>
      <c r="C50" s="50" t="s">
        <v>226</v>
      </c>
      <c r="D50" s="50" t="s">
        <v>26</v>
      </c>
    </row>
    <row r="51" spans="1:4" x14ac:dyDescent="0.2">
      <c r="A51" s="50">
        <v>4214</v>
      </c>
      <c r="B51" s="50" t="s">
        <v>128</v>
      </c>
      <c r="C51" s="50" t="s">
        <v>227</v>
      </c>
      <c r="D51" s="50" t="s">
        <v>26</v>
      </c>
    </row>
    <row r="52" spans="1:4" x14ac:dyDescent="0.2">
      <c r="A52" s="50">
        <v>4215</v>
      </c>
      <c r="B52" s="50" t="s">
        <v>129</v>
      </c>
      <c r="C52" s="50" t="s">
        <v>228</v>
      </c>
      <c r="D52" s="50" t="s">
        <v>26</v>
      </c>
    </row>
    <row r="53" spans="1:4" x14ac:dyDescent="0.2">
      <c r="A53" s="38">
        <v>4253</v>
      </c>
      <c r="B53" s="38" t="s">
        <v>22</v>
      </c>
      <c r="C53" s="38" t="s">
        <v>229</v>
      </c>
      <c r="D53" s="38" t="s">
        <v>15</v>
      </c>
    </row>
    <row r="54" spans="1:4" x14ac:dyDescent="0.2">
      <c r="A54" s="50">
        <v>4258</v>
      </c>
      <c r="B54" s="50" t="s">
        <v>130</v>
      </c>
      <c r="C54" s="50" t="s">
        <v>230</v>
      </c>
      <c r="D54" s="50" t="s">
        <v>26</v>
      </c>
    </row>
    <row r="55" spans="1:4" x14ac:dyDescent="0.2">
      <c r="A55" s="50">
        <v>4283</v>
      </c>
      <c r="B55" s="50" t="s">
        <v>131</v>
      </c>
      <c r="C55" s="50" t="s">
        <v>231</v>
      </c>
      <c r="D55" s="50" t="s">
        <v>26</v>
      </c>
    </row>
    <row r="56" spans="1:4" x14ac:dyDescent="0.2">
      <c r="A56" s="50">
        <v>4284</v>
      </c>
      <c r="B56" s="50" t="s">
        <v>132</v>
      </c>
      <c r="C56" s="50" t="s">
        <v>232</v>
      </c>
      <c r="D56" s="50" t="s">
        <v>26</v>
      </c>
    </row>
    <row r="57" spans="1:4" x14ac:dyDescent="0.2">
      <c r="A57" s="50">
        <v>4304</v>
      </c>
      <c r="B57" s="50" t="s">
        <v>133</v>
      </c>
      <c r="C57" s="50" t="s">
        <v>233</v>
      </c>
      <c r="D57" s="50" t="s">
        <v>26</v>
      </c>
    </row>
    <row r="58" spans="1:4" x14ac:dyDescent="0.2">
      <c r="A58" s="38">
        <v>4315</v>
      </c>
      <c r="B58" s="38" t="s">
        <v>23</v>
      </c>
      <c r="C58" s="38" t="s">
        <v>234</v>
      </c>
      <c r="D58" s="38" t="s">
        <v>15</v>
      </c>
    </row>
    <row r="59" spans="1:4" x14ac:dyDescent="0.2">
      <c r="A59" s="50">
        <v>4318</v>
      </c>
      <c r="B59" s="50" t="s">
        <v>134</v>
      </c>
      <c r="C59" s="50" t="s">
        <v>235</v>
      </c>
      <c r="D59" s="50" t="s">
        <v>26</v>
      </c>
    </row>
    <row r="60" spans="1:4" x14ac:dyDescent="0.2">
      <c r="A60" s="50">
        <v>4339</v>
      </c>
      <c r="B60" s="50" t="s">
        <v>135</v>
      </c>
      <c r="C60" s="50" t="s">
        <v>236</v>
      </c>
      <c r="D60" s="50" t="s">
        <v>26</v>
      </c>
    </row>
    <row r="61" spans="1:4" x14ac:dyDescent="0.2">
      <c r="A61" s="50">
        <v>4340</v>
      </c>
      <c r="B61" s="50" t="s">
        <v>136</v>
      </c>
      <c r="C61" s="50" t="s">
        <v>237</v>
      </c>
      <c r="D61" s="50" t="s">
        <v>26</v>
      </c>
    </row>
    <row r="62" spans="1:4" x14ac:dyDescent="0.2">
      <c r="A62" s="50">
        <v>4341</v>
      </c>
      <c r="B62" s="50" t="s">
        <v>137</v>
      </c>
      <c r="C62" s="50" t="s">
        <v>238</v>
      </c>
      <c r="D62" s="50" t="s">
        <v>26</v>
      </c>
    </row>
    <row r="63" spans="1:4" x14ac:dyDescent="0.2">
      <c r="A63" s="50">
        <v>4350</v>
      </c>
      <c r="B63" s="50" t="s">
        <v>239</v>
      </c>
      <c r="C63" s="50" t="s">
        <v>240</v>
      </c>
      <c r="D63" s="50" t="s">
        <v>26</v>
      </c>
    </row>
    <row r="64" spans="1:4" x14ac:dyDescent="0.2">
      <c r="A64" s="50">
        <v>4369</v>
      </c>
      <c r="B64" s="50" t="s">
        <v>138</v>
      </c>
      <c r="C64" s="50" t="s">
        <v>241</v>
      </c>
      <c r="D64" s="50" t="s">
        <v>26</v>
      </c>
    </row>
    <row r="65" spans="1:4" x14ac:dyDescent="0.2">
      <c r="A65" s="50">
        <v>4383</v>
      </c>
      <c r="B65" s="50" t="s">
        <v>139</v>
      </c>
      <c r="C65" s="50" t="s">
        <v>242</v>
      </c>
      <c r="D65" s="50" t="s">
        <v>26</v>
      </c>
    </row>
    <row r="66" spans="1:4" x14ac:dyDescent="0.2">
      <c r="A66" s="50">
        <v>4390</v>
      </c>
      <c r="B66" s="50" t="s">
        <v>140</v>
      </c>
      <c r="C66" s="50" t="s">
        <v>243</v>
      </c>
      <c r="D66" s="50" t="s">
        <v>26</v>
      </c>
    </row>
    <row r="67" spans="1:4" x14ac:dyDescent="0.2">
      <c r="A67" s="50">
        <v>4402</v>
      </c>
      <c r="B67" s="50" t="s">
        <v>141</v>
      </c>
      <c r="C67" s="50" t="s">
        <v>244</v>
      </c>
      <c r="D67" s="50" t="s">
        <v>26</v>
      </c>
    </row>
    <row r="68" spans="1:4" x14ac:dyDescent="0.2">
      <c r="A68" s="38">
        <v>4413</v>
      </c>
      <c r="B68" s="38" t="s">
        <v>24</v>
      </c>
      <c r="C68" s="38" t="s">
        <v>245</v>
      </c>
      <c r="D68" s="38" t="s">
        <v>15</v>
      </c>
    </row>
    <row r="69" spans="1:4" x14ac:dyDescent="0.2">
      <c r="A69" s="50">
        <v>4417</v>
      </c>
      <c r="B69" s="50" t="s">
        <v>142</v>
      </c>
      <c r="C69" s="50" t="s">
        <v>246</v>
      </c>
      <c r="D69" s="50" t="s">
        <v>26</v>
      </c>
    </row>
    <row r="70" spans="1:4" x14ac:dyDescent="0.2">
      <c r="A70" s="50">
        <v>4432</v>
      </c>
      <c r="B70" s="50" t="s">
        <v>143</v>
      </c>
      <c r="C70" s="50" t="s">
        <v>247</v>
      </c>
      <c r="D70" s="50" t="s">
        <v>26</v>
      </c>
    </row>
    <row r="71" spans="1:4" x14ac:dyDescent="0.2">
      <c r="A71" s="50">
        <v>4435</v>
      </c>
      <c r="B71" s="50" t="s">
        <v>248</v>
      </c>
      <c r="C71" s="50" t="s">
        <v>249</v>
      </c>
      <c r="D71" s="50" t="s">
        <v>26</v>
      </c>
    </row>
    <row r="72" spans="1:4" x14ac:dyDescent="0.2">
      <c r="A72" s="38">
        <v>4449</v>
      </c>
      <c r="B72" s="38" t="s">
        <v>25</v>
      </c>
      <c r="C72" s="38" t="s">
        <v>250</v>
      </c>
      <c r="D72" s="38" t="s">
        <v>15</v>
      </c>
    </row>
    <row r="73" spans="1:4" x14ac:dyDescent="0.2">
      <c r="A73" s="50">
        <v>4461</v>
      </c>
      <c r="B73" s="50" t="s">
        <v>144</v>
      </c>
      <c r="C73" s="50" t="s">
        <v>251</v>
      </c>
      <c r="D73" s="50" t="s">
        <v>26</v>
      </c>
    </row>
    <row r="74" spans="1:4" x14ac:dyDescent="0.2">
      <c r="A74" s="50">
        <v>4469</v>
      </c>
      <c r="B74" s="50" t="s">
        <v>146</v>
      </c>
      <c r="C74" s="50" t="s">
        <v>252</v>
      </c>
      <c r="D74" s="50" t="s">
        <v>26</v>
      </c>
    </row>
    <row r="75" spans="1:4" x14ac:dyDescent="0.2">
      <c r="A75" s="50">
        <v>4486</v>
      </c>
      <c r="B75" s="50" t="s">
        <v>145</v>
      </c>
      <c r="C75" s="50" t="s">
        <v>253</v>
      </c>
      <c r="D75" s="50" t="s">
        <v>26</v>
      </c>
    </row>
  </sheetData>
  <sortState xmlns:xlrd2="http://schemas.microsoft.com/office/spreadsheetml/2017/richdata2" ref="A2:C75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B1E59-A4C6-4ABF-902C-2129C0ADFA0B}">
  <sheetPr codeName="Hoja7"/>
  <dimension ref="A1:I38"/>
  <sheetViews>
    <sheetView topLeftCell="A22" zoomScale="85" zoomScaleNormal="85" workbookViewId="0">
      <selection activeCell="A38" sqref="A38:XFD38"/>
    </sheetView>
  </sheetViews>
  <sheetFormatPr baseColWidth="10" defaultColWidth="10.83203125" defaultRowHeight="15" x14ac:dyDescent="0.2"/>
  <cols>
    <col min="1" max="1" width="9.5" bestFit="1" customWidth="1"/>
    <col min="2" max="2" width="15.83203125" bestFit="1" customWidth="1"/>
    <col min="3" max="3" width="53.5" bestFit="1" customWidth="1"/>
    <col min="4" max="4" width="17.1640625" bestFit="1" customWidth="1"/>
    <col min="5" max="5" width="4.5" bestFit="1" customWidth="1"/>
  </cols>
  <sheetData>
    <row r="1" spans="1:9" s="5" customFormat="1" ht="22" x14ac:dyDescent="0.2">
      <c r="A1" s="76" t="s">
        <v>73</v>
      </c>
      <c r="B1" s="76"/>
      <c r="C1" s="76"/>
      <c r="D1" s="76"/>
      <c r="E1" s="76"/>
      <c r="F1" s="8"/>
      <c r="G1" s="8"/>
      <c r="H1" s="8"/>
      <c r="I1" s="8"/>
    </row>
    <row r="2" spans="1:9" s="5" customFormat="1" ht="18.75" customHeight="1" x14ac:dyDescent="0.2">
      <c r="A2" s="79" t="s">
        <v>74</v>
      </c>
      <c r="B2" s="79"/>
      <c r="C2" s="79"/>
      <c r="D2" s="79"/>
      <c r="E2" s="79"/>
      <c r="F2" s="7"/>
      <c r="G2" s="7"/>
      <c r="H2" s="7"/>
      <c r="I2" s="7"/>
    </row>
    <row r="3" spans="1:9" s="5" customFormat="1" ht="18.75" customHeight="1" x14ac:dyDescent="0.2">
      <c r="A3" s="79"/>
      <c r="B3" s="79"/>
      <c r="C3" s="79"/>
      <c r="D3" s="79"/>
      <c r="E3" s="79"/>
      <c r="F3" s="7"/>
      <c r="G3" s="7"/>
      <c r="H3" s="7"/>
      <c r="I3" s="7"/>
    </row>
    <row r="4" spans="1:9" s="5" customFormat="1" ht="16" x14ac:dyDescent="0.2">
      <c r="A4" s="78" t="s">
        <v>2</v>
      </c>
      <c r="B4" s="78"/>
      <c r="C4" s="78" t="s">
        <v>1</v>
      </c>
      <c r="D4" s="78"/>
      <c r="E4" s="78"/>
      <c r="F4" s="6"/>
      <c r="G4" s="6"/>
      <c r="H4" s="6"/>
      <c r="I4" s="6"/>
    </row>
    <row r="5" spans="1:9" s="5" customFormat="1" ht="16" x14ac:dyDescent="0.2">
      <c r="A5" s="78" t="s">
        <v>3</v>
      </c>
      <c r="B5" s="78"/>
      <c r="C5" s="78">
        <v>19596</v>
      </c>
      <c r="D5" s="78"/>
      <c r="E5" s="78"/>
      <c r="F5" s="6"/>
      <c r="G5" s="6"/>
      <c r="H5" s="6"/>
      <c r="I5" s="6"/>
    </row>
    <row r="6" spans="1:9" s="5" customFormat="1" ht="16" x14ac:dyDescent="0.2">
      <c r="A6" s="160"/>
      <c r="B6" s="160"/>
      <c r="C6" s="160"/>
      <c r="D6" s="160"/>
      <c r="E6" s="160"/>
      <c r="F6" s="6"/>
      <c r="G6" s="6"/>
      <c r="H6" s="6"/>
      <c r="I6" s="6"/>
    </row>
    <row r="7" spans="1:9" x14ac:dyDescent="0.2">
      <c r="A7" s="34" t="s">
        <v>7</v>
      </c>
      <c r="B7" s="34" t="s">
        <v>11</v>
      </c>
      <c r="C7" s="34" t="s">
        <v>33</v>
      </c>
      <c r="D7" s="34" t="s">
        <v>34</v>
      </c>
      <c r="E7" s="34" t="s">
        <v>8</v>
      </c>
    </row>
    <row r="8" spans="1:9" x14ac:dyDescent="0.2">
      <c r="A8" s="31">
        <v>2210395</v>
      </c>
      <c r="B8" s="31">
        <v>7441119600508</v>
      </c>
      <c r="C8" s="31" t="s">
        <v>161</v>
      </c>
      <c r="D8" s="35">
        <v>508</v>
      </c>
      <c r="E8" s="36">
        <v>15</v>
      </c>
    </row>
    <row r="9" spans="1:9" x14ac:dyDescent="0.2">
      <c r="A9" s="31">
        <v>2645495</v>
      </c>
      <c r="B9" s="31">
        <v>7441119600553</v>
      </c>
      <c r="C9" s="31" t="s">
        <v>35</v>
      </c>
      <c r="D9" s="35">
        <v>553</v>
      </c>
      <c r="E9" s="36">
        <v>3</v>
      </c>
    </row>
    <row r="10" spans="1:9" x14ac:dyDescent="0.2">
      <c r="A10" s="31">
        <v>2645502</v>
      </c>
      <c r="B10" s="31">
        <v>7441119600577</v>
      </c>
      <c r="C10" s="31" t="s">
        <v>36</v>
      </c>
      <c r="D10" s="35">
        <v>577</v>
      </c>
      <c r="E10" s="36">
        <v>3</v>
      </c>
    </row>
    <row r="11" spans="1:9" x14ac:dyDescent="0.2">
      <c r="A11" s="31">
        <v>2645509</v>
      </c>
      <c r="B11" s="31">
        <v>7441119600607</v>
      </c>
      <c r="C11" s="31" t="s">
        <v>37</v>
      </c>
      <c r="D11" s="35">
        <v>607</v>
      </c>
      <c r="E11" s="36">
        <v>3</v>
      </c>
    </row>
    <row r="12" spans="1:9" x14ac:dyDescent="0.2">
      <c r="A12" s="31">
        <v>2645516</v>
      </c>
      <c r="B12" s="31">
        <v>7441119600652</v>
      </c>
      <c r="C12" s="31" t="s">
        <v>63</v>
      </c>
      <c r="D12" s="35">
        <v>652</v>
      </c>
      <c r="E12" s="36">
        <v>3</v>
      </c>
    </row>
    <row r="13" spans="1:9" x14ac:dyDescent="0.2">
      <c r="A13" s="31">
        <v>2645523</v>
      </c>
      <c r="B13" s="31">
        <v>7441119600645</v>
      </c>
      <c r="C13" s="31" t="s">
        <v>38</v>
      </c>
      <c r="D13" s="35">
        <v>645</v>
      </c>
      <c r="E13" s="36">
        <v>3</v>
      </c>
    </row>
    <row r="14" spans="1:9" x14ac:dyDescent="0.2">
      <c r="A14" s="31">
        <v>2645530</v>
      </c>
      <c r="B14" s="31">
        <v>7441119600621</v>
      </c>
      <c r="C14" s="31" t="s">
        <v>39</v>
      </c>
      <c r="D14" s="35">
        <v>621</v>
      </c>
      <c r="E14" s="36">
        <v>3</v>
      </c>
    </row>
    <row r="15" spans="1:9" x14ac:dyDescent="0.2">
      <c r="A15" s="31">
        <v>2645537</v>
      </c>
      <c r="B15" s="31">
        <v>7441119600638</v>
      </c>
      <c r="C15" s="31" t="s">
        <v>40</v>
      </c>
      <c r="D15" s="35">
        <v>638</v>
      </c>
      <c r="E15" s="36">
        <v>3</v>
      </c>
    </row>
    <row r="16" spans="1:9" x14ac:dyDescent="0.2">
      <c r="A16" s="31">
        <v>2645544</v>
      </c>
      <c r="B16" s="31">
        <v>7441119600614</v>
      </c>
      <c r="C16" s="31" t="s">
        <v>41</v>
      </c>
      <c r="D16" s="35">
        <v>614</v>
      </c>
      <c r="E16" s="36">
        <v>3</v>
      </c>
    </row>
    <row r="17" spans="1:5" x14ac:dyDescent="0.2">
      <c r="A17" s="31">
        <v>2645551</v>
      </c>
      <c r="B17" s="31">
        <v>7441119600782</v>
      </c>
      <c r="C17" s="31" t="s">
        <v>42</v>
      </c>
      <c r="D17" s="35">
        <v>782</v>
      </c>
      <c r="E17" s="36">
        <v>3</v>
      </c>
    </row>
    <row r="18" spans="1:5" x14ac:dyDescent="0.2">
      <c r="A18" s="31">
        <v>2645558</v>
      </c>
      <c r="B18" s="31">
        <v>7441119600751</v>
      </c>
      <c r="C18" s="31" t="s">
        <v>43</v>
      </c>
      <c r="D18" s="35">
        <v>751</v>
      </c>
      <c r="E18" s="36">
        <v>3</v>
      </c>
    </row>
    <row r="19" spans="1:5" x14ac:dyDescent="0.2">
      <c r="A19" s="31">
        <v>2645565</v>
      </c>
      <c r="B19" s="31">
        <v>7441119600799</v>
      </c>
      <c r="C19" s="31" t="s">
        <v>44</v>
      </c>
      <c r="D19" s="35">
        <v>799</v>
      </c>
      <c r="E19" s="36">
        <v>3</v>
      </c>
    </row>
    <row r="20" spans="1:5" x14ac:dyDescent="0.2">
      <c r="A20" s="31">
        <v>2645572</v>
      </c>
      <c r="B20" s="31">
        <v>7441119600744</v>
      </c>
      <c r="C20" s="31" t="s">
        <v>45</v>
      </c>
      <c r="D20" s="35">
        <v>744</v>
      </c>
      <c r="E20" s="36">
        <v>3</v>
      </c>
    </row>
    <row r="21" spans="1:5" x14ac:dyDescent="0.2">
      <c r="A21" s="31">
        <v>2645579</v>
      </c>
      <c r="B21" s="31">
        <v>7441119600775</v>
      </c>
      <c r="C21" s="31" t="s">
        <v>46</v>
      </c>
      <c r="D21" s="35">
        <v>775</v>
      </c>
      <c r="E21" s="36">
        <v>3</v>
      </c>
    </row>
    <row r="22" spans="1:5" x14ac:dyDescent="0.2">
      <c r="A22" s="31">
        <v>2645600</v>
      </c>
      <c r="B22" s="31">
        <v>7441119600089</v>
      </c>
      <c r="C22" s="31" t="s">
        <v>47</v>
      </c>
      <c r="D22" s="35">
        <v>2374450049</v>
      </c>
      <c r="E22" s="36">
        <v>3</v>
      </c>
    </row>
    <row r="23" spans="1:5" x14ac:dyDescent="0.2">
      <c r="A23" s="31">
        <v>2645607</v>
      </c>
      <c r="B23" s="31">
        <v>7441119600065</v>
      </c>
      <c r="C23" s="31" t="s">
        <v>48</v>
      </c>
      <c r="D23" s="35">
        <v>2374450027</v>
      </c>
      <c r="E23" s="36">
        <v>3</v>
      </c>
    </row>
    <row r="24" spans="1:5" x14ac:dyDescent="0.2">
      <c r="A24" s="31">
        <v>2645621</v>
      </c>
      <c r="B24" s="31">
        <v>7441119600072</v>
      </c>
      <c r="C24" s="31" t="s">
        <v>49</v>
      </c>
      <c r="D24" s="35">
        <v>2374450038</v>
      </c>
      <c r="E24" s="36">
        <v>3</v>
      </c>
    </row>
    <row r="25" spans="1:5" x14ac:dyDescent="0.2">
      <c r="A25" s="31">
        <v>2645628</v>
      </c>
      <c r="B25" s="31">
        <v>7441119600157</v>
      </c>
      <c r="C25" s="31" t="s">
        <v>50</v>
      </c>
      <c r="D25" s="35">
        <v>1203900011</v>
      </c>
      <c r="E25" s="36">
        <v>3</v>
      </c>
    </row>
    <row r="26" spans="1:5" x14ac:dyDescent="0.2">
      <c r="A26" s="31">
        <v>2645635</v>
      </c>
      <c r="B26" s="31">
        <v>7441119600188</v>
      </c>
      <c r="C26" s="31" t="s">
        <v>51</v>
      </c>
      <c r="D26" s="35">
        <v>1203900022</v>
      </c>
      <c r="E26" s="36">
        <v>3</v>
      </c>
    </row>
    <row r="27" spans="1:5" x14ac:dyDescent="0.2">
      <c r="A27" s="31">
        <v>2645649</v>
      </c>
      <c r="B27" s="31">
        <v>7441119600171</v>
      </c>
      <c r="C27" s="31" t="s">
        <v>52</v>
      </c>
      <c r="D27" s="35">
        <v>1203900033</v>
      </c>
      <c r="E27" s="36">
        <v>3</v>
      </c>
    </row>
    <row r="28" spans="1:5" x14ac:dyDescent="0.2">
      <c r="A28" s="31">
        <v>2645656</v>
      </c>
      <c r="B28" s="31">
        <v>7441119600034</v>
      </c>
      <c r="C28" s="31" t="s">
        <v>53</v>
      </c>
      <c r="D28" s="35">
        <v>1209890021</v>
      </c>
      <c r="E28" s="36">
        <v>3</v>
      </c>
    </row>
    <row r="29" spans="1:5" x14ac:dyDescent="0.2">
      <c r="A29" s="31">
        <v>2645663</v>
      </c>
      <c r="B29" s="31">
        <v>7441119600027</v>
      </c>
      <c r="C29" s="31" t="s">
        <v>54</v>
      </c>
      <c r="D29" s="35">
        <v>1203890010</v>
      </c>
      <c r="E29" s="36">
        <v>3</v>
      </c>
    </row>
    <row r="30" spans="1:5" x14ac:dyDescent="0.2">
      <c r="A30" s="31">
        <v>2645670</v>
      </c>
      <c r="B30" s="31">
        <v>7441119600010</v>
      </c>
      <c r="C30" s="31" t="s">
        <v>55</v>
      </c>
      <c r="D30" s="35">
        <v>1203890032</v>
      </c>
      <c r="E30" s="36">
        <v>3</v>
      </c>
    </row>
    <row r="31" spans="1:5" x14ac:dyDescent="0.2">
      <c r="A31" s="31">
        <v>2647973</v>
      </c>
      <c r="B31" s="31">
        <v>7441119600768</v>
      </c>
      <c r="C31" s="31" t="s">
        <v>56</v>
      </c>
      <c r="D31" s="35">
        <v>768</v>
      </c>
      <c r="E31" s="36">
        <v>3</v>
      </c>
    </row>
    <row r="32" spans="1:5" x14ac:dyDescent="0.2">
      <c r="A32" s="31">
        <v>2648008</v>
      </c>
      <c r="B32" s="31">
        <v>7441119600058</v>
      </c>
      <c r="C32" s="31" t="s">
        <v>57</v>
      </c>
      <c r="D32" s="35">
        <v>2374450016</v>
      </c>
      <c r="E32" s="36">
        <v>3</v>
      </c>
    </row>
    <row r="33" spans="1:5" x14ac:dyDescent="0.2">
      <c r="A33" s="31">
        <v>2648015</v>
      </c>
      <c r="B33" s="31">
        <v>7441119600164</v>
      </c>
      <c r="C33" s="31" t="s">
        <v>58</v>
      </c>
      <c r="D33" s="35">
        <v>1203900044</v>
      </c>
      <c r="E33" s="36">
        <v>3</v>
      </c>
    </row>
    <row r="34" spans="1:5" x14ac:dyDescent="0.2">
      <c r="A34" s="31">
        <v>2648022</v>
      </c>
      <c r="B34" s="31">
        <v>7441119600003</v>
      </c>
      <c r="C34" s="31" t="s">
        <v>59</v>
      </c>
      <c r="D34" s="35">
        <v>1203890043</v>
      </c>
      <c r="E34" s="36">
        <v>3</v>
      </c>
    </row>
    <row r="35" spans="1:5" x14ac:dyDescent="0.2">
      <c r="A35" s="31">
        <v>2648029</v>
      </c>
      <c r="B35" s="31">
        <v>7441119600102</v>
      </c>
      <c r="C35" s="31" t="s">
        <v>60</v>
      </c>
      <c r="D35" s="35">
        <v>2374440015</v>
      </c>
      <c r="E35" s="36">
        <v>3</v>
      </c>
    </row>
    <row r="36" spans="1:5" x14ac:dyDescent="0.2">
      <c r="A36" s="31">
        <v>2648036</v>
      </c>
      <c r="B36" s="31">
        <v>7441119600133</v>
      </c>
      <c r="C36" s="31" t="s">
        <v>61</v>
      </c>
      <c r="D36" s="35">
        <v>2374420013</v>
      </c>
      <c r="E36" s="36">
        <v>3</v>
      </c>
    </row>
    <row r="37" spans="1:5" x14ac:dyDescent="0.2">
      <c r="A37" s="31">
        <v>2648043</v>
      </c>
      <c r="B37" s="31">
        <v>7441119600317</v>
      </c>
      <c r="C37" s="31" t="s">
        <v>62</v>
      </c>
      <c r="D37" s="35">
        <v>317</v>
      </c>
      <c r="E37" s="36">
        <v>3</v>
      </c>
    </row>
    <row r="38" spans="1:5" x14ac:dyDescent="0.2">
      <c r="A38" s="31">
        <v>70468499</v>
      </c>
      <c r="B38" s="31">
        <v>7441119600690</v>
      </c>
      <c r="C38" s="31" t="s">
        <v>160</v>
      </c>
      <c r="D38" s="31">
        <v>70468499</v>
      </c>
      <c r="E38" s="36">
        <v>12</v>
      </c>
    </row>
  </sheetData>
  <sortState xmlns:xlrd2="http://schemas.microsoft.com/office/spreadsheetml/2017/richdata2" ref="A9:E37">
    <sortCondition ref="D37"/>
  </sortState>
  <mergeCells count="8">
    <mergeCell ref="A1:E1"/>
    <mergeCell ref="A2:E2"/>
    <mergeCell ref="A4:B4"/>
    <mergeCell ref="A6:E6"/>
    <mergeCell ref="A3:E3"/>
    <mergeCell ref="A5:B5"/>
    <mergeCell ref="C4:E4"/>
    <mergeCell ref="C5:E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F1A0-5466-4456-A287-2922BAC8E753}">
  <sheetPr codeName="Hoja8"/>
  <dimension ref="A1:F46"/>
  <sheetViews>
    <sheetView zoomScale="95" zoomScaleNormal="115" workbookViewId="0">
      <selection sqref="A1:XFD1048576"/>
    </sheetView>
  </sheetViews>
  <sheetFormatPr baseColWidth="10" defaultColWidth="11.5" defaultRowHeight="15" x14ac:dyDescent="0.2"/>
  <cols>
    <col min="1" max="16384" width="11.5" style="25"/>
  </cols>
  <sheetData>
    <row r="1" spans="1:6" x14ac:dyDescent="0.2">
      <c r="A1" s="162" t="s">
        <v>86</v>
      </c>
      <c r="B1" s="162"/>
      <c r="C1" s="162"/>
      <c r="D1" s="162"/>
      <c r="E1" s="162"/>
      <c r="F1" s="162"/>
    </row>
    <row r="2" spans="1:6" x14ac:dyDescent="0.2">
      <c r="A2" s="162"/>
      <c r="B2" s="162"/>
      <c r="C2" s="162"/>
      <c r="D2" s="162"/>
      <c r="E2" s="162"/>
      <c r="F2" s="162"/>
    </row>
    <row r="3" spans="1:6" x14ac:dyDescent="0.2">
      <c r="A3" s="161"/>
      <c r="B3" s="161"/>
      <c r="C3" s="161"/>
      <c r="D3" s="161"/>
      <c r="E3" s="161"/>
      <c r="F3" s="161"/>
    </row>
    <row r="4" spans="1:6" x14ac:dyDescent="0.2">
      <c r="A4" s="162" t="s">
        <v>87</v>
      </c>
      <c r="B4" s="162"/>
      <c r="C4" s="162"/>
      <c r="D4" s="162"/>
      <c r="E4" s="162"/>
      <c r="F4" s="162"/>
    </row>
    <row r="5" spans="1:6" x14ac:dyDescent="0.2">
      <c r="A5" s="162"/>
      <c r="B5" s="162"/>
      <c r="C5" s="162"/>
      <c r="D5" s="162"/>
      <c r="E5" s="162"/>
      <c r="F5" s="162"/>
    </row>
    <row r="6" spans="1:6" x14ac:dyDescent="0.2">
      <c r="A6" s="161"/>
      <c r="B6" s="161"/>
      <c r="C6" s="161"/>
      <c r="D6" s="161"/>
      <c r="E6" s="161"/>
      <c r="F6" s="161"/>
    </row>
    <row r="7" spans="1:6" x14ac:dyDescent="0.2">
      <c r="A7" s="162" t="s">
        <v>88</v>
      </c>
      <c r="B7" s="162"/>
      <c r="C7" s="162"/>
      <c r="D7" s="162"/>
      <c r="E7" s="162"/>
      <c r="F7" s="162"/>
    </row>
    <row r="8" spans="1:6" x14ac:dyDescent="0.2">
      <c r="A8" s="162"/>
      <c r="B8" s="162"/>
      <c r="C8" s="162"/>
      <c r="D8" s="162"/>
      <c r="E8" s="162"/>
      <c r="F8" s="162"/>
    </row>
    <row r="9" spans="1:6" x14ac:dyDescent="0.2">
      <c r="A9" s="161"/>
      <c r="B9" s="161"/>
      <c r="C9" s="161"/>
      <c r="D9" s="161"/>
      <c r="E9" s="161"/>
      <c r="F9" s="161"/>
    </row>
    <row r="10" spans="1:6" x14ac:dyDescent="0.2">
      <c r="A10" s="162" t="s">
        <v>89</v>
      </c>
      <c r="B10" s="162"/>
      <c r="C10" s="162"/>
      <c r="D10" s="162"/>
      <c r="E10" s="162"/>
      <c r="F10" s="162"/>
    </row>
    <row r="11" spans="1:6" x14ac:dyDescent="0.2">
      <c r="A11" s="162"/>
      <c r="B11" s="162"/>
      <c r="C11" s="162"/>
      <c r="D11" s="162"/>
      <c r="E11" s="162"/>
      <c r="F11" s="162"/>
    </row>
    <row r="12" spans="1:6" x14ac:dyDescent="0.2">
      <c r="A12" s="161"/>
      <c r="B12" s="161"/>
      <c r="C12" s="161"/>
      <c r="D12" s="161"/>
      <c r="E12" s="161"/>
      <c r="F12" s="161"/>
    </row>
    <row r="13" spans="1:6" x14ac:dyDescent="0.2">
      <c r="A13" s="162" t="s">
        <v>90</v>
      </c>
      <c r="B13" s="162"/>
      <c r="C13" s="162"/>
      <c r="D13" s="162"/>
      <c r="E13" s="162"/>
      <c r="F13" s="162"/>
    </row>
    <row r="14" spans="1:6" x14ac:dyDescent="0.2">
      <c r="A14" s="162"/>
      <c r="B14" s="162"/>
      <c r="C14" s="162"/>
      <c r="D14" s="162"/>
      <c r="E14" s="162"/>
      <c r="F14" s="162"/>
    </row>
    <row r="15" spans="1:6" x14ac:dyDescent="0.2">
      <c r="A15" s="161"/>
      <c r="B15" s="161"/>
      <c r="C15" s="161"/>
      <c r="D15" s="161"/>
      <c r="E15" s="161"/>
      <c r="F15" s="161"/>
    </row>
    <row r="16" spans="1:6" x14ac:dyDescent="0.2">
      <c r="A16" s="162" t="s">
        <v>91</v>
      </c>
      <c r="B16" s="162"/>
      <c r="C16" s="162"/>
      <c r="D16" s="162"/>
      <c r="E16" s="162"/>
      <c r="F16" s="162"/>
    </row>
    <row r="17" spans="1:6" x14ac:dyDescent="0.2">
      <c r="A17" s="162"/>
      <c r="B17" s="162"/>
      <c r="C17" s="162"/>
      <c r="D17" s="162"/>
      <c r="E17" s="162"/>
      <c r="F17" s="162"/>
    </row>
    <row r="18" spans="1:6" x14ac:dyDescent="0.2">
      <c r="A18" s="161"/>
      <c r="B18" s="161"/>
      <c r="C18" s="161"/>
      <c r="D18" s="161"/>
      <c r="E18" s="161"/>
      <c r="F18" s="161"/>
    </row>
    <row r="19" spans="1:6" x14ac:dyDescent="0.2">
      <c r="A19" s="162" t="s">
        <v>92</v>
      </c>
      <c r="B19" s="162"/>
      <c r="C19" s="162"/>
      <c r="D19" s="162"/>
      <c r="E19" s="162"/>
      <c r="F19" s="162"/>
    </row>
    <row r="20" spans="1:6" x14ac:dyDescent="0.2">
      <c r="A20" s="162"/>
      <c r="B20" s="162"/>
      <c r="C20" s="162"/>
      <c r="D20" s="162"/>
      <c r="E20" s="162"/>
      <c r="F20" s="162"/>
    </row>
    <row r="21" spans="1:6" x14ac:dyDescent="0.2">
      <c r="A21" s="161"/>
      <c r="B21" s="161"/>
      <c r="C21" s="161"/>
      <c r="D21" s="161"/>
      <c r="E21" s="161"/>
      <c r="F21" s="161"/>
    </row>
    <row r="22" spans="1:6" x14ac:dyDescent="0.2">
      <c r="A22" s="162" t="s">
        <v>93</v>
      </c>
      <c r="B22" s="162"/>
      <c r="C22" s="162"/>
      <c r="D22" s="162"/>
      <c r="E22" s="162"/>
      <c r="F22" s="162"/>
    </row>
    <row r="23" spans="1:6" x14ac:dyDescent="0.2">
      <c r="A23" s="162"/>
      <c r="B23" s="162"/>
      <c r="C23" s="162"/>
      <c r="D23" s="162"/>
      <c r="E23" s="162"/>
      <c r="F23" s="162"/>
    </row>
    <row r="24" spans="1:6" x14ac:dyDescent="0.2">
      <c r="A24" s="161"/>
      <c r="B24" s="161"/>
      <c r="C24" s="161"/>
      <c r="D24" s="161"/>
      <c r="E24" s="161"/>
      <c r="F24" s="161"/>
    </row>
    <row r="25" spans="1:6" x14ac:dyDescent="0.2">
      <c r="A25" s="162" t="s">
        <v>94</v>
      </c>
      <c r="B25" s="162"/>
      <c r="C25" s="162"/>
      <c r="D25" s="162"/>
      <c r="E25" s="162"/>
      <c r="F25" s="162"/>
    </row>
    <row r="26" spans="1:6" x14ac:dyDescent="0.2">
      <c r="A26" s="162"/>
      <c r="B26" s="162"/>
      <c r="C26" s="162"/>
      <c r="D26" s="162"/>
      <c r="E26" s="162"/>
      <c r="F26" s="162"/>
    </row>
    <row r="27" spans="1:6" x14ac:dyDescent="0.2">
      <c r="A27" s="161"/>
      <c r="B27" s="161"/>
      <c r="C27" s="161"/>
      <c r="D27" s="161"/>
      <c r="E27" s="161"/>
      <c r="F27" s="161"/>
    </row>
    <row r="28" spans="1:6" x14ac:dyDescent="0.2">
      <c r="A28" s="162" t="s">
        <v>95</v>
      </c>
      <c r="B28" s="162"/>
      <c r="C28" s="162"/>
      <c r="D28" s="162"/>
      <c r="E28" s="162"/>
      <c r="F28" s="162"/>
    </row>
    <row r="29" spans="1:6" x14ac:dyDescent="0.2">
      <c r="A29" s="162"/>
      <c r="B29" s="162"/>
      <c r="C29" s="162"/>
      <c r="D29" s="162"/>
      <c r="E29" s="162"/>
      <c r="F29" s="162"/>
    </row>
    <row r="30" spans="1:6" x14ac:dyDescent="0.2">
      <c r="A30" s="161"/>
      <c r="B30" s="161"/>
      <c r="C30" s="161"/>
      <c r="D30" s="161"/>
      <c r="E30" s="161"/>
      <c r="F30" s="161"/>
    </row>
    <row r="31" spans="1:6" x14ac:dyDescent="0.2">
      <c r="A31" s="162" t="s">
        <v>96</v>
      </c>
      <c r="B31" s="162"/>
      <c r="C31" s="162"/>
      <c r="D31" s="162"/>
      <c r="E31" s="162"/>
      <c r="F31" s="162"/>
    </row>
    <row r="32" spans="1:6" x14ac:dyDescent="0.2">
      <c r="A32" s="162"/>
      <c r="B32" s="162"/>
      <c r="C32" s="162"/>
      <c r="D32" s="162"/>
      <c r="E32" s="162"/>
      <c r="F32" s="162"/>
    </row>
    <row r="33" spans="1:6" x14ac:dyDescent="0.2">
      <c r="A33" s="161"/>
      <c r="B33" s="161"/>
      <c r="C33" s="161"/>
      <c r="D33" s="161"/>
      <c r="E33" s="161"/>
      <c r="F33" s="161"/>
    </row>
    <row r="34" spans="1:6" x14ac:dyDescent="0.2">
      <c r="A34" s="162" t="s">
        <v>97</v>
      </c>
      <c r="B34" s="162"/>
      <c r="C34" s="162"/>
      <c r="D34" s="162"/>
      <c r="E34" s="162"/>
      <c r="F34" s="162"/>
    </row>
    <row r="35" spans="1:6" x14ac:dyDescent="0.2">
      <c r="A35" s="162"/>
      <c r="B35" s="162"/>
      <c r="C35" s="162"/>
      <c r="D35" s="162"/>
      <c r="E35" s="162"/>
      <c r="F35" s="162"/>
    </row>
    <row r="36" spans="1:6" x14ac:dyDescent="0.2">
      <c r="A36" s="161"/>
      <c r="B36" s="161"/>
      <c r="C36" s="161"/>
      <c r="D36" s="161"/>
      <c r="E36" s="161"/>
      <c r="F36" s="161"/>
    </row>
    <row r="37" spans="1:6" x14ac:dyDescent="0.2">
      <c r="A37" s="162" t="s">
        <v>98</v>
      </c>
      <c r="B37" s="162"/>
      <c r="C37" s="162"/>
      <c r="D37" s="162"/>
      <c r="E37" s="162"/>
      <c r="F37" s="162"/>
    </row>
    <row r="38" spans="1:6" x14ac:dyDescent="0.2">
      <c r="A38" s="162"/>
      <c r="B38" s="162"/>
      <c r="C38" s="162"/>
      <c r="D38" s="162"/>
      <c r="E38" s="162"/>
      <c r="F38" s="162"/>
    </row>
    <row r="39" spans="1:6" x14ac:dyDescent="0.2">
      <c r="A39" s="161"/>
      <c r="B39" s="161"/>
      <c r="C39" s="161"/>
      <c r="D39" s="161"/>
      <c r="E39" s="161"/>
      <c r="F39" s="161"/>
    </row>
    <row r="40" spans="1:6" x14ac:dyDescent="0.2">
      <c r="A40" s="162" t="s">
        <v>99</v>
      </c>
      <c r="B40" s="162"/>
      <c r="C40" s="162"/>
      <c r="D40" s="162"/>
      <c r="E40" s="162"/>
      <c r="F40" s="162"/>
    </row>
    <row r="41" spans="1:6" x14ac:dyDescent="0.2">
      <c r="A41" s="162"/>
      <c r="B41" s="162"/>
      <c r="C41" s="162"/>
      <c r="D41" s="162"/>
      <c r="E41" s="162"/>
      <c r="F41" s="162"/>
    </row>
    <row r="42" spans="1:6" x14ac:dyDescent="0.2">
      <c r="A42" s="161"/>
      <c r="B42" s="161"/>
      <c r="C42" s="161"/>
      <c r="D42" s="161"/>
      <c r="E42" s="161"/>
      <c r="F42" s="161"/>
    </row>
    <row r="43" spans="1:6" x14ac:dyDescent="0.2">
      <c r="A43" s="162" t="s">
        <v>100</v>
      </c>
      <c r="B43" s="162"/>
      <c r="C43" s="162"/>
      <c r="D43" s="162"/>
      <c r="E43" s="162"/>
      <c r="F43" s="162"/>
    </row>
    <row r="44" spans="1:6" x14ac:dyDescent="0.2">
      <c r="A44" s="162"/>
      <c r="B44" s="162"/>
      <c r="C44" s="162"/>
      <c r="D44" s="162"/>
      <c r="E44" s="162"/>
      <c r="F44" s="162"/>
    </row>
    <row r="45" spans="1:6" x14ac:dyDescent="0.2">
      <c r="A45" s="161"/>
      <c r="B45" s="161"/>
      <c r="C45" s="161"/>
      <c r="D45" s="161"/>
      <c r="E45" s="161"/>
      <c r="F45" s="161"/>
    </row>
    <row r="46" spans="1:6" x14ac:dyDescent="0.2">
      <c r="A46" s="161"/>
      <c r="B46" s="161"/>
      <c r="C46" s="161"/>
      <c r="D46" s="161"/>
      <c r="E46" s="161"/>
      <c r="F46" s="161"/>
    </row>
  </sheetData>
  <mergeCells count="31">
    <mergeCell ref="A46:F46"/>
    <mergeCell ref="A37:F38"/>
    <mergeCell ref="A39:F39"/>
    <mergeCell ref="A40:F41"/>
    <mergeCell ref="A42:F42"/>
    <mergeCell ref="A43:F44"/>
    <mergeCell ref="A45:F45"/>
    <mergeCell ref="A36:F36"/>
    <mergeCell ref="A19:F20"/>
    <mergeCell ref="A21:F21"/>
    <mergeCell ref="A22:F23"/>
    <mergeCell ref="A24:F24"/>
    <mergeCell ref="A25:F26"/>
    <mergeCell ref="A27:F27"/>
    <mergeCell ref="A28:F29"/>
    <mergeCell ref="A30:F30"/>
    <mergeCell ref="A31:F32"/>
    <mergeCell ref="A33:F33"/>
    <mergeCell ref="A34:F35"/>
    <mergeCell ref="A18:F18"/>
    <mergeCell ref="A1:F2"/>
    <mergeCell ref="A3:F3"/>
    <mergeCell ref="A4:F5"/>
    <mergeCell ref="A6:F6"/>
    <mergeCell ref="A7:F8"/>
    <mergeCell ref="A9:F9"/>
    <mergeCell ref="A10:F11"/>
    <mergeCell ref="A12:F12"/>
    <mergeCell ref="A13:F14"/>
    <mergeCell ref="A15:F15"/>
    <mergeCell ref="A16:F17"/>
  </mergeCells>
  <pageMargins left="0.7" right="0.7" top="0.75" bottom="0.75" header="0.3" footer="0.3"/>
  <pageSetup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479CA-EC6F-482D-A3D7-17E0DCC17F20}">
  <sheetPr codeName="Hoja9"/>
  <dimension ref="A1:I13"/>
  <sheetViews>
    <sheetView zoomScale="115" zoomScaleNormal="115" workbookViewId="0">
      <selection activeCell="C6" sqref="C6"/>
    </sheetView>
  </sheetViews>
  <sheetFormatPr baseColWidth="10" defaultColWidth="10.83203125" defaultRowHeight="15" x14ac:dyDescent="0.2"/>
  <cols>
    <col min="1" max="1" width="2.6640625" customWidth="1"/>
    <col min="2" max="2" width="13.83203125" customWidth="1"/>
    <col min="3" max="3" width="48.33203125" customWidth="1"/>
    <col min="4" max="4" width="15.83203125" bestFit="1" customWidth="1"/>
    <col min="5" max="5" width="5.5" customWidth="1"/>
    <col min="7" max="7" width="7.6640625" customWidth="1"/>
    <col min="8" max="8" width="3.33203125" customWidth="1"/>
  </cols>
  <sheetData>
    <row r="1" spans="1:9" s="29" customFormat="1" ht="15" customHeight="1" x14ac:dyDescent="0.2">
      <c r="A1" s="163" t="s">
        <v>64</v>
      </c>
      <c r="B1" s="164"/>
      <c r="C1" s="164"/>
      <c r="D1" s="164"/>
      <c r="E1" s="164"/>
      <c r="F1" s="164"/>
      <c r="G1" s="164"/>
      <c r="H1" s="164"/>
      <c r="I1" s="165"/>
    </row>
    <row r="2" spans="1:9" s="29" customFormat="1" ht="15" customHeight="1" x14ac:dyDescent="0.2">
      <c r="A2" s="166" t="s">
        <v>65</v>
      </c>
      <c r="B2" s="167"/>
      <c r="C2" s="167"/>
      <c r="D2" s="167"/>
      <c r="E2" s="167"/>
      <c r="F2" s="167"/>
      <c r="G2" s="167"/>
      <c r="H2" s="167"/>
      <c r="I2" s="168"/>
    </row>
    <row r="3" spans="1:9" s="29" customFormat="1" ht="18.75" customHeight="1" x14ac:dyDescent="0.2">
      <c r="A3" s="169" t="s">
        <v>66</v>
      </c>
      <c r="B3" s="170"/>
      <c r="C3" s="171">
        <v>3022</v>
      </c>
      <c r="D3" s="171"/>
      <c r="E3" s="171"/>
      <c r="F3" s="172"/>
      <c r="G3" s="43" t="s">
        <v>67</v>
      </c>
      <c r="H3" s="173">
        <f>'RESUMEN DE PUNTOS DE VENTA'!$C$5</f>
        <v>7026682471</v>
      </c>
      <c r="I3" s="174"/>
    </row>
    <row r="4" spans="1:9" s="29" customFormat="1" ht="18.75" customHeight="1" x14ac:dyDescent="0.2">
      <c r="A4" s="169" t="s">
        <v>68</v>
      </c>
      <c r="B4" s="170"/>
      <c r="C4" s="171" t="str">
        <f>UPPER(VLOOKUP(C3,'PUNTOS DE VENTA'!$A$1:$B$75,2))</f>
        <v>MAXI CENTRO COMERCIAL HATILLO</v>
      </c>
      <c r="D4" s="171"/>
      <c r="E4" s="171"/>
      <c r="F4" s="171"/>
      <c r="G4" s="171"/>
      <c r="H4" s="171"/>
      <c r="I4" s="172"/>
    </row>
    <row r="5" spans="1:9" s="29" customFormat="1" ht="22.5" customHeight="1" x14ac:dyDescent="0.2">
      <c r="A5" s="179" t="s">
        <v>7</v>
      </c>
      <c r="B5" s="180"/>
      <c r="C5" s="44" t="s">
        <v>33</v>
      </c>
      <c r="D5" s="45" t="s">
        <v>11</v>
      </c>
      <c r="E5" s="45" t="s">
        <v>8</v>
      </c>
      <c r="F5" s="47" t="s">
        <v>69</v>
      </c>
      <c r="G5" s="181" t="s">
        <v>70</v>
      </c>
      <c r="H5" s="182"/>
      <c r="I5" s="46" t="s">
        <v>71</v>
      </c>
    </row>
    <row r="6" spans="1:9" s="29" customFormat="1" x14ac:dyDescent="0.2">
      <c r="A6" s="33">
        <v>1</v>
      </c>
      <c r="B6" s="31" t="e">
        <f>IF(SUMIFS('RESUMEN DE PUNTOS DE VENTA'!#REF!,'RESUMEN DE PUNTOS DE VENTA'!#REF!,C3,'RESUMEN DE PUNTOS DE VENTA'!#REF!,"2645516") = 2645516, 2645516, IF(SUMIFS('RESUMEN DE PUNTOS DE VENTA'!#REF!,'RESUMEN DE PUNTOS DE VENTA'!#REF!,C3,'RESUMEN DE PUNTOS DE VENTA'!#REF!,"2647973") = 2647973, 2647973, ""))</f>
        <v>#REF!</v>
      </c>
      <c r="C6" s="32" t="e">
        <f>IF(B6&lt;&gt;"",UPPER(VLOOKUP(B6,CATALOGO!$A$9:$E$37,3)),"")</f>
        <v>#REF!</v>
      </c>
      <c r="D6" s="32" t="e">
        <f>IF(B6&lt;&gt;"",VLOOKUP(B6,CATALOGO!$A$9:$E$37,2),"")</f>
        <v>#REF!</v>
      </c>
      <c r="E6" s="30" t="e">
        <f>IF(B6&lt;&gt;"",VLOOKUP(B6,CATALOGO!$A$9:$E$37,5),"")</f>
        <v>#REF!</v>
      </c>
      <c r="F6" s="30" t="e">
        <f>IF(B6&lt;&gt;"",SUMIFS('RESUMEN DE PUNTOS DE VENTA'!#REF!,'RESUMEN DE PUNTOS DE VENTA'!#REF!,C3,'RESUMEN DE PUNTOS DE VENTA'!#REF!,CROSSDOCKING!#REF!),"")</f>
        <v>#REF!</v>
      </c>
      <c r="G6" s="114" t="e">
        <f>IF(B6&lt;&gt;"",SUMIFS('RESUMEN DE PUNTOS DE VENTA'!#REF!,'RESUMEN DE PUNTOS DE VENTA'!#REF!,C3,'RESUMEN DE PUNTOS DE VENTA'!#REF!,CROSSDOCKING!#REF!),"")</f>
        <v>#REF!</v>
      </c>
      <c r="H6" s="115" t="e">
        <f>IF(D6&lt;&gt;"",SUMIFS('RESUMEN DE PUNTOS DE VENTA'!#REF!,'RESUMEN DE PUNTOS DE VENTA'!#REF!,E3,'RESUMEN DE PUNTOS DE VENTA'!#REF!,CROSSDOCKING!#REF!),"")</f>
        <v>#REF!</v>
      </c>
      <c r="I6" s="30" t="e">
        <f>IF(B6&lt;&gt;"",F6-G6,"")</f>
        <v>#REF!</v>
      </c>
    </row>
    <row r="7" spans="1:9" s="29" customFormat="1" x14ac:dyDescent="0.2">
      <c r="A7" s="33">
        <v>2</v>
      </c>
      <c r="B7" s="31" t="e">
        <f>IF(AND(B6&lt;&gt;"",B6&lt;&gt;2647973),IF(SUMIFS('RESUMEN DE PUNTOS DE VENTA'!#REF!,'RESUMEN DE PUNTOS DE VENTA'!#REF!,C3,'RESUMEN DE PUNTOS DE VENTA'!#REF!,"2647973")=2647973,2647973,""), "")</f>
        <v>#REF!</v>
      </c>
      <c r="C7" s="32" t="e">
        <f>IF(B7&lt;&gt;"",UPPER(VLOOKUP(B7,CATALOGO!$A$9:$E$37,3)),"")</f>
        <v>#REF!</v>
      </c>
      <c r="D7" s="32" t="e">
        <f>IF(B7&lt;&gt;"",VLOOKUP(B7,CATALOGO!$A$9:$E$37,2),"")</f>
        <v>#REF!</v>
      </c>
      <c r="E7" s="30" t="e">
        <f>IF(B7&lt;&gt;"",VLOOKUP(B7,CATALOGO!$A$9:$E$37,5),"")</f>
        <v>#REF!</v>
      </c>
      <c r="F7" s="30" t="e">
        <f>IF(B7&lt;&gt;"",SUMIFS('RESUMEN DE PUNTOS DE VENTA'!#REF!,'RESUMEN DE PUNTOS DE VENTA'!#REF!,C3,'RESUMEN DE PUNTOS DE VENTA'!#REF!,CROSSDOCKING!#REF!),"")</f>
        <v>#REF!</v>
      </c>
      <c r="G7" s="114" t="e">
        <f>IF(B7&lt;&gt;"",SUMIFS('RESUMEN DE PUNTOS DE VENTA'!#REF!,'RESUMEN DE PUNTOS DE VENTA'!#REF!,C3,'RESUMEN DE PUNTOS DE VENTA'!#REF!,CROSSDOCKING!#REF!),"")</f>
        <v>#REF!</v>
      </c>
      <c r="H7" s="115" t="e">
        <f>IF(D7&lt;&gt;"",SUMIFS('RESUMEN DE PUNTOS DE VENTA'!#REF!,'RESUMEN DE PUNTOS DE VENTA'!#REF!,E4,'RESUMEN DE PUNTOS DE VENTA'!#REF!,CROSSDOCKING!#REF!),"")</f>
        <v>#REF!</v>
      </c>
      <c r="I7" s="30" t="e">
        <f t="shared" ref="I7:I8" si="0">IF(B7&lt;&gt;"",F7-G7,"")</f>
        <v>#REF!</v>
      </c>
    </row>
    <row r="8" spans="1:9" s="29" customFormat="1" x14ac:dyDescent="0.2">
      <c r="A8" s="33">
        <v>3</v>
      </c>
      <c r="B8" s="31"/>
      <c r="C8" s="32" t="str">
        <f>IF(B8&lt;&gt;"",UPPER(VLOOKUP(B8,CATALOGO!$A$9:$E$37,3)),"")</f>
        <v/>
      </c>
      <c r="D8" s="32" t="str">
        <f>IF(B8&lt;&gt;"",VLOOKUP(B8,CATALOGO!$A$9:$E$37,2),"")</f>
        <v/>
      </c>
      <c r="E8" s="30" t="str">
        <f>IF(B8&lt;&gt;"",VLOOKUP(B8,CATALOGO!$A$9:$E$37,5),"")</f>
        <v/>
      </c>
      <c r="F8" s="30" t="str">
        <f>IF(B8&lt;&gt;"",SUMIFS('RESUMEN DE PUNTOS DE VENTA'!#REF!,'RESUMEN DE PUNTOS DE VENTA'!#REF!,C3,'RESUMEN DE PUNTOS DE VENTA'!#REF!,CROSSDOCKING!#REF!),"")</f>
        <v/>
      </c>
      <c r="G8" s="114" t="str">
        <f>IF(B8&lt;&gt;"",SUMIFS('RESUMEN DE PUNTOS DE VENTA'!#REF!,'RESUMEN DE PUNTOS DE VENTA'!#REF!,C3,'RESUMEN DE PUNTOS DE VENTA'!#REF!,CROSSDOCKING!#REF!),"")</f>
        <v/>
      </c>
      <c r="H8" s="115" t="str">
        <f>IF(D8&lt;&gt;"",SUMIFS('RESUMEN DE PUNTOS DE VENTA'!#REF!,'RESUMEN DE PUNTOS DE VENTA'!#REF!,E5,'RESUMEN DE PUNTOS DE VENTA'!#REF!,CROSSDOCKING!#REF!),"")</f>
        <v/>
      </c>
      <c r="I8" s="30" t="str">
        <f t="shared" si="0"/>
        <v/>
      </c>
    </row>
    <row r="9" spans="1:9" s="29" customFormat="1" ht="15" customHeight="1" x14ac:dyDescent="0.2">
      <c r="A9" s="117" t="s">
        <v>72</v>
      </c>
      <c r="B9" s="118"/>
      <c r="C9" s="118"/>
      <c r="D9" s="118"/>
      <c r="E9" s="119"/>
      <c r="F9" s="30" t="e">
        <f>SUM(F6:F8)</f>
        <v>#REF!</v>
      </c>
      <c r="G9" s="114" t="e">
        <f>SUM(G6:G8)</f>
        <v>#REF!</v>
      </c>
      <c r="H9" s="115"/>
      <c r="I9" s="30" t="e">
        <f>SUM(I6:I8)</f>
        <v>#REF!</v>
      </c>
    </row>
    <row r="10" spans="1:9" s="29" customFormat="1" ht="11.25" customHeight="1" x14ac:dyDescent="0.2">
      <c r="A10" s="117"/>
      <c r="B10" s="118"/>
      <c r="C10" s="118"/>
      <c r="D10" s="118"/>
      <c r="E10" s="118"/>
      <c r="F10" s="118"/>
      <c r="G10" s="118"/>
      <c r="H10" s="118"/>
      <c r="I10" s="119"/>
    </row>
    <row r="11" spans="1:9" s="29" customFormat="1" x14ac:dyDescent="0.2">
      <c r="A11" s="175" t="s">
        <v>153</v>
      </c>
      <c r="B11" s="176"/>
      <c r="C11" s="48">
        <f>COUNTIF($A$1:I9, "TOTAL")</f>
        <v>1</v>
      </c>
      <c r="D11" s="176" t="s">
        <v>152</v>
      </c>
      <c r="E11" s="176"/>
      <c r="F11" s="177" t="e">
        <f>CAJAS!#REF!</f>
        <v>#REF!</v>
      </c>
      <c r="G11" s="177"/>
      <c r="H11" s="177"/>
      <c r="I11" s="178"/>
    </row>
    <row r="12" spans="1:9" s="29" customFormat="1" ht="12.75" customHeight="1" thickBot="1" x14ac:dyDescent="0.25">
      <c r="A12" s="103"/>
      <c r="B12" s="103"/>
      <c r="C12" s="103"/>
      <c r="D12" s="103"/>
      <c r="E12" s="103"/>
      <c r="F12" s="103"/>
      <c r="G12" s="103"/>
      <c r="H12" s="103"/>
      <c r="I12" s="103"/>
    </row>
    <row r="13" spans="1:9" ht="16" thickTop="1" x14ac:dyDescent="0.2"/>
  </sheetData>
  <mergeCells count="19">
    <mergeCell ref="G9:H9"/>
    <mergeCell ref="A9:E9"/>
    <mergeCell ref="A10:I10"/>
    <mergeCell ref="A12:I12"/>
    <mergeCell ref="A4:B4"/>
    <mergeCell ref="C4:I4"/>
    <mergeCell ref="A11:B11"/>
    <mergeCell ref="D11:E11"/>
    <mergeCell ref="F11:I11"/>
    <mergeCell ref="A5:B5"/>
    <mergeCell ref="G5:H5"/>
    <mergeCell ref="G6:H6"/>
    <mergeCell ref="G7:H7"/>
    <mergeCell ref="G8:H8"/>
    <mergeCell ref="A1:I1"/>
    <mergeCell ref="A2:I2"/>
    <mergeCell ref="A3:B3"/>
    <mergeCell ref="C3:F3"/>
    <mergeCell ref="H3:I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AFFC-BF30-4113-AED1-942C988D3076}">
  <sheetPr codeName="Hoja10"/>
  <dimension ref="A1:J12"/>
  <sheetViews>
    <sheetView zoomScaleNormal="100" workbookViewId="0">
      <selection activeCell="B10" sqref="B10"/>
    </sheetView>
  </sheetViews>
  <sheetFormatPr baseColWidth="10" defaultColWidth="10.83203125" defaultRowHeight="15" x14ac:dyDescent="0.2"/>
  <cols>
    <col min="1" max="1" width="10.83203125" style="25"/>
    <col min="2" max="2" width="34.83203125" style="25" bestFit="1" customWidth="1"/>
    <col min="3" max="3" width="14.1640625" style="25" bestFit="1" customWidth="1"/>
    <col min="4" max="4" width="46.5" style="25" bestFit="1" customWidth="1"/>
    <col min="5" max="5" width="15.83203125" style="25" bestFit="1" customWidth="1"/>
    <col min="6" max="6" width="4.5" style="25" bestFit="1" customWidth="1"/>
    <col min="7" max="7" width="10.5" style="26" customWidth="1"/>
    <col min="8" max="8" width="10.33203125" style="26" customWidth="1"/>
    <col min="9" max="10" width="11.5" style="27"/>
    <col min="11" max="16384" width="10.83203125" style="25"/>
  </cols>
  <sheetData>
    <row r="1" spans="1:8" s="22" customFormat="1" ht="22" x14ac:dyDescent="0.2">
      <c r="A1" s="183" t="s">
        <v>73</v>
      </c>
      <c r="B1" s="183"/>
      <c r="C1" s="183"/>
      <c r="D1" s="183"/>
      <c r="E1" s="183"/>
      <c r="F1" s="183"/>
      <c r="G1" s="183"/>
      <c r="H1" s="183"/>
    </row>
    <row r="2" spans="1:8" s="22" customFormat="1" ht="18.75" customHeight="1" x14ac:dyDescent="0.2">
      <c r="A2" s="184" t="s">
        <v>0</v>
      </c>
      <c r="B2" s="184"/>
      <c r="C2" s="184"/>
      <c r="D2" s="184"/>
      <c r="E2" s="184"/>
      <c r="F2" s="184"/>
      <c r="G2" s="184"/>
      <c r="H2" s="184"/>
    </row>
    <row r="3" spans="1:8" s="22" customFormat="1" ht="17" x14ac:dyDescent="0.2">
      <c r="A3" s="79"/>
      <c r="B3" s="79"/>
      <c r="C3" s="79"/>
      <c r="D3" s="79"/>
      <c r="E3" s="79"/>
      <c r="F3" s="79"/>
      <c r="G3" s="79"/>
      <c r="H3" s="79"/>
    </row>
    <row r="4" spans="1:8" s="22" customFormat="1" ht="16" x14ac:dyDescent="0.2">
      <c r="A4" s="77" t="s">
        <v>2</v>
      </c>
      <c r="B4" s="77"/>
      <c r="C4" s="78" t="s">
        <v>1</v>
      </c>
      <c r="D4" s="78"/>
      <c r="E4" s="81" t="s">
        <v>150</v>
      </c>
      <c r="F4" s="81"/>
      <c r="G4" s="80">
        <v>40334298</v>
      </c>
      <c r="H4" s="80"/>
    </row>
    <row r="5" spans="1:8" s="22" customFormat="1" ht="16" x14ac:dyDescent="0.2">
      <c r="A5" s="77" t="s">
        <v>3</v>
      </c>
      <c r="B5" s="77"/>
      <c r="C5" s="78">
        <v>19596262</v>
      </c>
      <c r="D5" s="78"/>
      <c r="E5" s="78"/>
      <c r="F5" s="78"/>
      <c r="G5" s="78"/>
      <c r="H5" s="78"/>
    </row>
    <row r="6" spans="1:8" s="22" customFormat="1" ht="16" x14ac:dyDescent="0.2">
      <c r="A6" s="77" t="s">
        <v>79</v>
      </c>
      <c r="B6" s="77"/>
      <c r="C6" s="78">
        <v>2900674301</v>
      </c>
      <c r="D6" s="78"/>
      <c r="E6" s="81" t="s">
        <v>151</v>
      </c>
      <c r="F6" s="81"/>
      <c r="G6" s="80">
        <v>26</v>
      </c>
      <c r="H6" s="80"/>
    </row>
    <row r="7" spans="1:8" s="22" customFormat="1" ht="16" x14ac:dyDescent="0.2">
      <c r="A7" s="82"/>
      <c r="B7" s="82"/>
      <c r="C7" s="82"/>
      <c r="D7" s="82"/>
      <c r="E7" s="82"/>
      <c r="F7" s="82"/>
      <c r="G7" s="82"/>
      <c r="H7" s="82"/>
    </row>
    <row r="8" spans="1:8" s="29" customFormat="1" ht="15" customHeight="1" x14ac:dyDescent="0.2">
      <c r="A8" s="185" t="s">
        <v>5</v>
      </c>
      <c r="B8" s="185" t="s">
        <v>6</v>
      </c>
      <c r="C8" s="185" t="s">
        <v>7</v>
      </c>
      <c r="D8" s="185" t="s">
        <v>12</v>
      </c>
      <c r="E8" s="185" t="s">
        <v>11</v>
      </c>
      <c r="F8" s="185" t="s">
        <v>8</v>
      </c>
      <c r="G8" s="185" t="s">
        <v>9</v>
      </c>
      <c r="H8" s="185" t="s">
        <v>10</v>
      </c>
    </row>
    <row r="9" spans="1:8" s="29" customFormat="1" x14ac:dyDescent="0.2">
      <c r="A9" s="186"/>
      <c r="B9" s="186"/>
      <c r="C9" s="186"/>
      <c r="D9" s="186"/>
      <c r="E9" s="186"/>
      <c r="F9" s="186"/>
      <c r="G9" s="186"/>
      <c r="H9" s="186"/>
    </row>
    <row r="10" spans="1:8" s="23" customFormat="1" x14ac:dyDescent="0.2">
      <c r="A10" s="40">
        <v>3022</v>
      </c>
      <c r="B10" s="40" t="str">
        <f>VLOOKUP(A10,'PUNTOS DE VENTA'!A$2:B$75,2)</f>
        <v>Maxi Centro Comercial Hatillo</v>
      </c>
      <c r="C10" s="40">
        <v>2647973</v>
      </c>
      <c r="D10" s="40" t="str">
        <f>VLOOKUP(C10,CATALOGO!$A$9:$C$37,3)</f>
        <v>almohada bebe sencilla estampada</v>
      </c>
      <c r="E10" s="24">
        <f>VLOOKUP(C10,CATALOGO!$A$9:$C$37,2)</f>
        <v>7441119600768</v>
      </c>
      <c r="F10" s="24">
        <v>3</v>
      </c>
      <c r="G10" s="40">
        <v>1</v>
      </c>
      <c r="H10" s="40">
        <f>G10</f>
        <v>1</v>
      </c>
    </row>
    <row r="11" spans="1:8" s="23" customFormat="1" x14ac:dyDescent="0.2">
      <c r="A11" s="188" t="s">
        <v>13</v>
      </c>
      <c r="B11" s="189"/>
      <c r="C11" s="189"/>
      <c r="D11" s="189"/>
      <c r="E11" s="189"/>
      <c r="F11" s="189"/>
      <c r="G11" s="189"/>
      <c r="H11" s="190"/>
    </row>
    <row r="12" spans="1:8" s="25" customFormat="1" x14ac:dyDescent="0.2">
      <c r="A12" s="187"/>
      <c r="B12" s="187"/>
      <c r="C12" s="187"/>
      <c r="D12" s="187"/>
      <c r="E12" s="187"/>
      <c r="F12" s="187"/>
      <c r="G12" s="187"/>
      <c r="H12" s="187"/>
    </row>
  </sheetData>
  <mergeCells count="24">
    <mergeCell ref="A12:H12"/>
    <mergeCell ref="E8:E9"/>
    <mergeCell ref="F8:F9"/>
    <mergeCell ref="G8:G9"/>
    <mergeCell ref="H8:H9"/>
    <mergeCell ref="A11:H11"/>
    <mergeCell ref="A7:H7"/>
    <mergeCell ref="A8:A9"/>
    <mergeCell ref="B8:B9"/>
    <mergeCell ref="C8:C9"/>
    <mergeCell ref="D8:D9"/>
    <mergeCell ref="A5:B5"/>
    <mergeCell ref="A6:B6"/>
    <mergeCell ref="C5:H5"/>
    <mergeCell ref="C6:D6"/>
    <mergeCell ref="E6:F6"/>
    <mergeCell ref="G6:H6"/>
    <mergeCell ref="A4:B4"/>
    <mergeCell ref="A1:H1"/>
    <mergeCell ref="A2:H2"/>
    <mergeCell ref="A3:H3"/>
    <mergeCell ref="C4:D4"/>
    <mergeCell ref="E4:F4"/>
    <mergeCell ref="G4:H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RESUMEN DE PUNTOS DE VENTA</vt:lpstr>
      <vt:lpstr>NuevoReporte</vt:lpstr>
      <vt:lpstr>CAJAS</vt:lpstr>
      <vt:lpstr>CROSSDOCKING</vt:lpstr>
      <vt:lpstr>HOJA DE FALTANTES PARCIALES</vt:lpstr>
      <vt:lpstr>HOJA DE FALTANTES COMPLETOS</vt:lpstr>
      <vt:lpstr>PUNTOS DE VENTA</vt:lpstr>
      <vt:lpstr>CATALOGO</vt:lpstr>
      <vt:lpstr>CANTIDAD DE BULTOS CROSSDOKING</vt:lpstr>
      <vt:lpstr>DISEÑO CROSSDOCKING</vt:lpstr>
      <vt:lpstr>DISEÑO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Pablo Campos Solano</dc:creator>
  <cp:lastModifiedBy>José Pablo Campos Solano</cp:lastModifiedBy>
  <cp:lastPrinted>2025-12-17T02:06:52Z</cp:lastPrinted>
  <dcterms:created xsi:type="dcterms:W3CDTF">2018-08-30T15:12:04Z</dcterms:created>
  <dcterms:modified xsi:type="dcterms:W3CDTF">2025-12-17T02:09:06Z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120 120 1920 1080</vt:lpwstr>
  </property>
</Properties>
</file>